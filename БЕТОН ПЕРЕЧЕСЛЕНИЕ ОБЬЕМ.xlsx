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БЕТОН КОЛИЧЕСТВО 2026\"/>
    </mc:Choice>
  </mc:AlternateContent>
  <xr:revisionPtr revIDLastSave="0" documentId="13_ncr:1_{1A27B9B9-A8AB-408B-93A8-9719EB6BE9DA}" xr6:coauthVersionLast="47" xr6:coauthVersionMax="47" xr10:uidLastSave="{00000000-0000-0000-0000-000000000000}"/>
  <bookViews>
    <workbookView xWindow="-108" yWindow="-108" windowWidth="23256" windowHeight="12576" xr2:uid="{5F80AF13-613D-427C-AF67-5170ACCE3AA5}"/>
  </bookViews>
  <sheets>
    <sheet name="январь" sheetId="1" r:id="rId1"/>
    <sheet name="Февраль" sheetId="4" r:id="rId2"/>
  </sheets>
  <definedNames>
    <definedName name="_xlnm._FilterDatabase" localSheetId="0" hidden="1">январь!$A$1:$S$1119</definedName>
    <definedName name="_xlnm.Print_Area" localSheetId="0">январь!$A$1:$Q$58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8" i="1" l="1"/>
  <c r="R76" i="4"/>
  <c r="R75" i="4"/>
  <c r="R77" i="4" s="1"/>
  <c r="R73" i="4"/>
  <c r="R72" i="4"/>
  <c r="R71" i="4"/>
  <c r="R70" i="4"/>
  <c r="R74" i="4" s="1"/>
  <c r="R68" i="4"/>
  <c r="R67" i="4"/>
  <c r="R66" i="4"/>
  <c r="R69" i="4" s="1"/>
  <c r="R64" i="4"/>
  <c r="R63" i="4"/>
  <c r="R62" i="4"/>
  <c r="R60" i="4"/>
  <c r="R59" i="4"/>
  <c r="R58" i="4"/>
  <c r="R57" i="4"/>
  <c r="R55" i="4"/>
  <c r="R56" i="4" s="1"/>
  <c r="R53" i="4"/>
  <c r="R52" i="4"/>
  <c r="R50" i="4"/>
  <c r="R49" i="4"/>
  <c r="R48" i="4"/>
  <c r="R46" i="4"/>
  <c r="R44" i="4"/>
  <c r="R43" i="4"/>
  <c r="R42" i="4"/>
  <c r="R40" i="4"/>
  <c r="R41" i="4" s="1"/>
  <c r="R38" i="4"/>
  <c r="R35" i="4"/>
  <c r="R36" i="4" s="1"/>
  <c r="R33" i="4"/>
  <c r="R30" i="4"/>
  <c r="R29" i="4"/>
  <c r="R28" i="4"/>
  <c r="R27" i="4"/>
  <c r="R26" i="4"/>
  <c r="N26" i="4"/>
  <c r="R24" i="4"/>
  <c r="R23" i="4"/>
  <c r="R22" i="4"/>
  <c r="R20" i="4"/>
  <c r="R19" i="4"/>
  <c r="R18" i="4"/>
  <c r="R16" i="4"/>
  <c r="R14" i="4"/>
  <c r="R12" i="4"/>
  <c r="R13" i="4" s="1"/>
  <c r="R10" i="4"/>
  <c r="R9" i="4"/>
  <c r="R8" i="4"/>
  <c r="R6" i="4"/>
  <c r="R5" i="4"/>
  <c r="R65" i="4" l="1"/>
  <c r="R54" i="4"/>
  <c r="R61" i="4"/>
  <c r="R51" i="4"/>
  <c r="R7" i="4"/>
  <c r="R11" i="4"/>
  <c r="R45" i="4"/>
  <c r="R21" i="4"/>
  <c r="R32" i="4"/>
  <c r="R39" i="4"/>
  <c r="R25" i="4"/>
  <c r="R17" i="4"/>
  <c r="G58" i="1" l="1"/>
  <c r="H58" i="1"/>
  <c r="I58" i="1"/>
  <c r="F58" i="1"/>
  <c r="E58" i="1"/>
  <c r="N4" i="1"/>
  <c r="N5" i="1"/>
  <c r="N56" i="1"/>
  <c r="N55" i="1"/>
  <c r="N54" i="1"/>
  <c r="N53" i="1"/>
  <c r="N52" i="1"/>
  <c r="N51" i="1"/>
  <c r="N49" i="1"/>
  <c r="N50" i="1" s="1"/>
  <c r="N47" i="1"/>
  <c r="N46" i="1"/>
  <c r="N45" i="1"/>
  <c r="N48" i="1" s="1"/>
  <c r="N43" i="1"/>
  <c r="N42" i="1"/>
  <c r="N40" i="1"/>
  <c r="N41" i="1" s="1"/>
  <c r="N38" i="1"/>
  <c r="N37" i="1"/>
  <c r="N36" i="1"/>
  <c r="N34" i="1"/>
  <c r="N33" i="1"/>
  <c r="N32" i="1"/>
  <c r="N31" i="1"/>
  <c r="N35" i="1" s="1"/>
  <c r="N30" i="1"/>
  <c r="N28" i="1"/>
  <c r="N27" i="1"/>
  <c r="N29" i="1" s="1"/>
  <c r="N25" i="1"/>
  <c r="N26" i="1" s="1"/>
  <c r="N23" i="1"/>
  <c r="N22" i="1"/>
  <c r="N21" i="1"/>
  <c r="N24" i="1" s="1"/>
  <c r="N19" i="1"/>
  <c r="N20" i="1" s="1"/>
  <c r="N17" i="1"/>
  <c r="N16" i="1"/>
  <c r="N18" i="1" s="1"/>
  <c r="N14" i="1"/>
  <c r="N13" i="1"/>
  <c r="N15" i="1" s="1"/>
  <c r="N11" i="1"/>
  <c r="N12" i="1" s="1"/>
  <c r="N9" i="1"/>
  <c r="N8" i="1"/>
  <c r="N7" i="1"/>
  <c r="N10" i="1" s="1"/>
  <c r="N2" i="1"/>
  <c r="N3" i="1" s="1"/>
  <c r="Q2" i="1"/>
  <c r="Q3" i="1" s="1"/>
  <c r="N6" i="1" l="1"/>
  <c r="N57" i="1"/>
  <c r="N39" i="1"/>
  <c r="N44" i="1"/>
  <c r="Q56" i="1"/>
  <c r="Q52" i="1"/>
  <c r="Q55" i="1"/>
  <c r="Q54" i="1"/>
  <c r="Q51" i="1"/>
  <c r="Q49" i="1"/>
  <c r="Q47" i="1"/>
  <c r="Q46" i="1"/>
  <c r="Q45" i="1"/>
  <c r="Q43" i="1"/>
  <c r="Q42" i="1"/>
  <c r="Q40" i="1"/>
  <c r="Q41" i="1" s="1"/>
  <c r="Q38" i="1"/>
  <c r="Q37" i="1"/>
  <c r="Q36" i="1"/>
  <c r="Q33" i="1"/>
  <c r="Q32" i="1"/>
  <c r="Q30" i="1"/>
  <c r="Q28" i="1"/>
  <c r="Q27" i="1"/>
  <c r="Q25" i="1"/>
  <c r="Q26" i="1" s="1"/>
  <c r="Q23" i="1"/>
  <c r="Q22" i="1"/>
  <c r="Q21" i="1"/>
  <c r="Q19" i="1"/>
  <c r="Q20" i="1" s="1"/>
  <c r="Q17" i="1"/>
  <c r="Q16" i="1"/>
  <c r="Q14" i="1"/>
  <c r="Q13" i="1"/>
  <c r="Q11" i="1"/>
  <c r="Q9" i="1"/>
  <c r="Q8" i="1"/>
  <c r="Q15" i="1" l="1"/>
  <c r="Q29" i="1"/>
  <c r="Q57" i="1"/>
  <c r="Q39" i="1"/>
  <c r="Q48" i="1"/>
  <c r="Q50" i="1"/>
  <c r="Q44" i="1"/>
  <c r="Q35" i="1"/>
  <c r="Q18" i="1"/>
  <c r="Q10" i="1"/>
  <c r="Q24" i="1"/>
  <c r="Q12" i="1"/>
  <c r="Q7" i="1"/>
  <c r="Q5" i="1"/>
  <c r="Q4" i="1"/>
  <c r="Q6" i="1" l="1"/>
</calcChain>
</file>

<file path=xl/sharedStrings.xml><?xml version="1.0" encoding="utf-8"?>
<sst xmlns="http://schemas.openxmlformats.org/spreadsheetml/2006/main" count="242" uniqueCount="78">
  <si>
    <t>Дата</t>
  </si>
  <si>
    <t>Клиент</t>
  </si>
  <si>
    <t>СУХОЙ БЕТОН</t>
  </si>
  <si>
    <t>М100</t>
  </si>
  <si>
    <t>М150</t>
  </si>
  <si>
    <t>М200</t>
  </si>
  <si>
    <t>М250</t>
  </si>
  <si>
    <t>М300</t>
  </si>
  <si>
    <t>М350</t>
  </si>
  <si>
    <t>М400</t>
  </si>
  <si>
    <t>М400 сульфакт</t>
  </si>
  <si>
    <t>М-200 СУЛЬФАКТ</t>
  </si>
  <si>
    <t>М450</t>
  </si>
  <si>
    <t>ОБЩИЙ</t>
  </si>
  <si>
    <t>Кол-во отгрузок</t>
  </si>
  <si>
    <t>ДОРОЖНЫЕ</t>
  </si>
  <si>
    <t>АСТИК КАРТА</t>
  </si>
  <si>
    <t>Столбец2</t>
  </si>
  <si>
    <t>Столбец3</t>
  </si>
  <si>
    <t>РАСЧЕТ</t>
  </si>
  <si>
    <t>ДОЛГ</t>
  </si>
  <si>
    <t>1300 000 ДОЛГ</t>
  </si>
  <si>
    <t>16640000 ДОЛН</t>
  </si>
  <si>
    <t>54 000 000 Б</t>
  </si>
  <si>
    <t>7560 000 долг</t>
  </si>
  <si>
    <t>2500 000 ДОЛГ</t>
  </si>
  <si>
    <t>П</t>
  </si>
  <si>
    <t>BUILDING NICE</t>
  </si>
  <si>
    <t>TRANS KONSALT C АНТИ</t>
  </si>
  <si>
    <t>П РАСЧЕТ</t>
  </si>
  <si>
    <t>ТЕМУР СТРОЙ С АНТИ</t>
  </si>
  <si>
    <t>RESURSI XOJALIK C АНТИМ</t>
  </si>
  <si>
    <t>VIP-ART</t>
  </si>
  <si>
    <t>UNIVERSAL GLOBAL INVEST</t>
  </si>
  <si>
    <t>RESURSI XOJALIK</t>
  </si>
  <si>
    <t>RUBBER PRODUKT</t>
  </si>
  <si>
    <t>223,,5</t>
  </si>
  <si>
    <t>ERA LUX MONTAJ C АНТИМОРОЗ</t>
  </si>
  <si>
    <t>CHIRCHIK PERFECT STORY С АНТИМОРОЗ</t>
  </si>
  <si>
    <t>П+ 500 000 Д</t>
  </si>
  <si>
    <t>п</t>
  </si>
  <si>
    <t>ISM SIRKAT  С АНТИМОРОЗ</t>
  </si>
  <si>
    <t>FORTIGEN С АНТИМОРОЗ</t>
  </si>
  <si>
    <t>RIVESIDE BUILDING</t>
  </si>
  <si>
    <t>CENTRUM BUILD С АНТИИМОРОЗ</t>
  </si>
  <si>
    <t>UNIVERSAL GLOBAL INVEST С АНТИМ</t>
  </si>
  <si>
    <t>МАЛЕНЬКИЙ ЗАВОД</t>
  </si>
  <si>
    <t>BUILDING NICE С АНТИМОРОЗ</t>
  </si>
  <si>
    <t>LUCH ONE С АНТИМОРОЗ</t>
  </si>
  <si>
    <t>RUBBER PRODUKT с АНТИМОРОЗ</t>
  </si>
  <si>
    <t>LUCH ONE C АНТИМОРОЗ</t>
  </si>
  <si>
    <t>WISS DOM HILL</t>
  </si>
  <si>
    <t>П+ Н 4000 000</t>
  </si>
  <si>
    <t>78,5+125,5</t>
  </si>
  <si>
    <t>ISM SIRKET С АНТИМОРОЗ</t>
  </si>
  <si>
    <t>ADA BUILDS С АНТИМОРОЗ</t>
  </si>
  <si>
    <t>П+ Н 3360 000</t>
  </si>
  <si>
    <t>GMK CHIRCHIK CITY</t>
  </si>
  <si>
    <t>ХОДЖИКЕНТ АНТИМОРОЗ</t>
  </si>
  <si>
    <t>FUTERE INVEST</t>
  </si>
  <si>
    <t>285.5</t>
  </si>
  <si>
    <t>BRIKET PLUS</t>
  </si>
  <si>
    <t>П+ НАСОС</t>
  </si>
  <si>
    <t>CHIRCHIK PERFEKT С АНТИМОРОЗ</t>
  </si>
  <si>
    <t xml:space="preserve">ERA LUX MONTAJ </t>
  </si>
  <si>
    <t>PROFIT MAXSUS STORY</t>
  </si>
  <si>
    <t xml:space="preserve">ADA BUILDS </t>
  </si>
  <si>
    <t>П+ Н 3600 000</t>
  </si>
  <si>
    <t>ИТОГО</t>
  </si>
  <si>
    <t>НЕ РАБОТАЛ</t>
  </si>
  <si>
    <t xml:space="preserve">LUCH ONE </t>
  </si>
  <si>
    <t>ОБЩ КЛ</t>
  </si>
  <si>
    <t>КОМП</t>
  </si>
  <si>
    <t>П+ Н</t>
  </si>
  <si>
    <t>ISM SIRKET</t>
  </si>
  <si>
    <t>ФАСАД ТАМИРЛАШ</t>
  </si>
  <si>
    <t>MILLENIUM</t>
  </si>
  <si>
    <t>GRAND ICE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</si>
</sst>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#,##0.0\ [$UZS];[Red]\-#,##0.0\ [$UZS]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7">
    <xf numFmtId="0" fontId="0" fillId="0" borderId="0" xfId="0"/>
    <xf numFmtId="0" fontId="3" fillId="2" borderId="1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center" vertical="top"/>
    </xf>
    <xf numFmtId="0" fontId="4" fillId="5" borderId="2" xfId="0" applyFont="1" applyFill="1" applyBorder="1" applyAlignment="1">
      <alignment horizontal="center" vertical="top"/>
    </xf>
    <xf numFmtId="0" fontId="4" fillId="6" borderId="2" xfId="0" applyFont="1" applyFill="1" applyBorder="1" applyAlignment="1">
      <alignment horizontal="center" vertical="top"/>
    </xf>
    <xf numFmtId="0" fontId="4" fillId="7" borderId="2" xfId="0" applyFont="1" applyFill="1" applyBorder="1" applyAlignment="1">
      <alignment horizontal="center" vertical="top"/>
    </xf>
    <xf numFmtId="0" fontId="4" fillId="8" borderId="2" xfId="0" applyFont="1" applyFill="1" applyBorder="1" applyAlignment="1">
      <alignment horizontal="center" vertical="top"/>
    </xf>
    <xf numFmtId="0" fontId="4" fillId="9" borderId="2" xfId="0" applyFont="1" applyFill="1" applyBorder="1" applyAlignment="1">
      <alignment horizontal="center" vertical="top"/>
    </xf>
    <xf numFmtId="0" fontId="4" fillId="10" borderId="2" xfId="0" applyFont="1" applyFill="1" applyBorder="1" applyAlignment="1">
      <alignment horizontal="center" vertical="top"/>
    </xf>
    <xf numFmtId="0" fontId="4" fillId="11" borderId="2" xfId="0" applyFont="1" applyFill="1" applyBorder="1" applyAlignment="1">
      <alignment horizontal="center" vertical="top"/>
    </xf>
    <xf numFmtId="0" fontId="3" fillId="12" borderId="2" xfId="0" applyFont="1" applyFill="1" applyBorder="1" applyAlignment="1">
      <alignment horizontal="center" vertical="top"/>
    </xf>
    <xf numFmtId="0" fontId="3" fillId="13" borderId="3" xfId="0" applyFont="1" applyFill="1" applyBorder="1" applyAlignment="1">
      <alignment horizontal="center" vertical="top"/>
    </xf>
    <xf numFmtId="164" fontId="3" fillId="14" borderId="4" xfId="1" applyNumberFormat="1" applyFont="1" applyFill="1" applyBorder="1" applyAlignment="1">
      <alignment horizontal="center" vertical="top"/>
    </xf>
    <xf numFmtId="164" fontId="3" fillId="0" borderId="4" xfId="0" applyNumberFormat="1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2" fillId="6" borderId="2" xfId="0" applyFont="1" applyFill="1" applyBorder="1" applyAlignment="1">
      <alignment horizontal="center" vertical="top"/>
    </xf>
    <xf numFmtId="0" fontId="2" fillId="7" borderId="2" xfId="0" applyFont="1" applyFill="1" applyBorder="1" applyAlignment="1">
      <alignment horizontal="center" vertical="top"/>
    </xf>
    <xf numFmtId="0" fontId="2" fillId="8" borderId="2" xfId="0" applyFont="1" applyFill="1" applyBorder="1" applyAlignment="1">
      <alignment horizontal="center" vertical="top"/>
    </xf>
    <xf numFmtId="0" fontId="2" fillId="9" borderId="2" xfId="0" applyFont="1" applyFill="1" applyBorder="1" applyAlignment="1">
      <alignment horizontal="center" vertical="top"/>
    </xf>
    <xf numFmtId="0" fontId="2" fillId="10" borderId="2" xfId="0" applyFont="1" applyFill="1" applyBorder="1" applyAlignment="1">
      <alignment horizontal="center" vertical="top"/>
    </xf>
    <xf numFmtId="0" fontId="2" fillId="11" borderId="2" xfId="0" applyFont="1" applyFill="1" applyBorder="1" applyAlignment="1">
      <alignment horizontal="center" vertical="top"/>
    </xf>
    <xf numFmtId="0" fontId="2" fillId="12" borderId="2" xfId="0" applyFont="1" applyFill="1" applyBorder="1" applyAlignment="1">
      <alignment horizontal="center" vertical="top"/>
    </xf>
    <xf numFmtId="164" fontId="2" fillId="14" borderId="5" xfId="1" applyNumberFormat="1" applyFont="1" applyFill="1" applyBorder="1" applyAlignment="1">
      <alignment horizontal="center" vertical="top"/>
    </xf>
    <xf numFmtId="164" fontId="2" fillId="0" borderId="5" xfId="0" applyNumberFormat="1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5" fillId="15" borderId="2" xfId="0" applyFont="1" applyFill="1" applyBorder="1" applyAlignment="1">
      <alignment horizontal="center" vertical="top"/>
    </xf>
    <xf numFmtId="164" fontId="2" fillId="15" borderId="5" xfId="1" applyNumberFormat="1" applyFont="1" applyFill="1" applyBorder="1" applyAlignment="1">
      <alignment horizontal="center" vertical="top"/>
    </xf>
    <xf numFmtId="164" fontId="2" fillId="15" borderId="5" xfId="0" applyNumberFormat="1" applyFont="1" applyFill="1" applyBorder="1" applyAlignment="1">
      <alignment horizontal="center" vertical="top"/>
    </xf>
    <xf numFmtId="0" fontId="2" fillId="15" borderId="5" xfId="0" applyFont="1" applyFill="1" applyBorder="1" applyAlignment="1">
      <alignment horizontal="center" vertical="top"/>
    </xf>
    <xf numFmtId="0" fontId="2" fillId="16" borderId="5" xfId="0" applyFont="1" applyFill="1" applyBorder="1" applyAlignment="1">
      <alignment horizontal="center" vertical="top"/>
    </xf>
    <xf numFmtId="16" fontId="2" fillId="2" borderId="5" xfId="0" applyNumberFormat="1" applyFont="1" applyFill="1" applyBorder="1" applyAlignment="1">
      <alignment horizontal="center" vertical="top"/>
    </xf>
    <xf numFmtId="0" fontId="2" fillId="4" borderId="5" xfId="0" applyFont="1" applyFill="1" applyBorder="1" applyAlignment="1">
      <alignment horizontal="center" vertical="top"/>
    </xf>
    <xf numFmtId="0" fontId="2" fillId="5" borderId="5" xfId="0" applyFont="1" applyFill="1" applyBorder="1" applyAlignment="1">
      <alignment horizontal="center" vertical="top"/>
    </xf>
    <xf numFmtId="0" fontId="2" fillId="6" borderId="5" xfId="0" applyFont="1" applyFill="1" applyBorder="1" applyAlignment="1">
      <alignment horizontal="center" vertical="top"/>
    </xf>
    <xf numFmtId="0" fontId="2" fillId="7" borderId="5" xfId="0" applyFont="1" applyFill="1" applyBorder="1" applyAlignment="1">
      <alignment horizontal="center" vertical="top"/>
    </xf>
    <xf numFmtId="0" fontId="2" fillId="8" borderId="5" xfId="0" applyFont="1" applyFill="1" applyBorder="1" applyAlignment="1">
      <alignment horizontal="center" vertical="top"/>
    </xf>
    <xf numFmtId="0" fontId="2" fillId="9" borderId="5" xfId="0" applyFont="1" applyFill="1" applyBorder="1" applyAlignment="1">
      <alignment horizontal="center" vertical="top"/>
    </xf>
    <xf numFmtId="0" fontId="2" fillId="10" borderId="5" xfId="0" applyFont="1" applyFill="1" applyBorder="1" applyAlignment="1">
      <alignment horizontal="center" vertical="top"/>
    </xf>
    <xf numFmtId="0" fontId="2" fillId="11" borderId="5" xfId="0" applyFont="1" applyFill="1" applyBorder="1" applyAlignment="1">
      <alignment horizontal="center" vertical="top"/>
    </xf>
    <xf numFmtId="0" fontId="2" fillId="12" borderId="5" xfId="0" applyFont="1" applyFill="1" applyBorder="1" applyAlignment="1">
      <alignment horizontal="center" vertical="top"/>
    </xf>
    <xf numFmtId="0" fontId="2" fillId="13" borderId="5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3" borderId="9" xfId="0" applyFont="1" applyFill="1" applyBorder="1" applyAlignment="1">
      <alignment horizontal="center" vertical="top"/>
    </xf>
    <xf numFmtId="0" fontId="2" fillId="15" borderId="9" xfId="0" applyFont="1" applyFill="1" applyBorder="1" applyAlignment="1">
      <alignment horizontal="center" vertical="top"/>
    </xf>
    <xf numFmtId="0" fontId="5" fillId="3" borderId="10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horizontal="center" vertical="top"/>
    </xf>
    <xf numFmtId="164" fontId="2" fillId="16" borderId="5" xfId="1" applyNumberFormat="1" applyFont="1" applyFill="1" applyBorder="1" applyAlignment="1">
      <alignment horizontal="center" vertical="top"/>
    </xf>
    <xf numFmtId="164" fontId="2" fillId="16" borderId="5" xfId="0" applyNumberFormat="1" applyFont="1" applyFill="1" applyBorder="1" applyAlignment="1">
      <alignment horizontal="center" vertical="top"/>
    </xf>
    <xf numFmtId="16" fontId="2" fillId="15" borderId="5" xfId="0" applyNumberFormat="1" applyFont="1" applyFill="1" applyBorder="1" applyAlignment="1">
      <alignment horizontal="center" vertical="top"/>
    </xf>
    <xf numFmtId="0" fontId="2" fillId="17" borderId="5" xfId="0" applyFont="1" applyFill="1" applyBorder="1" applyAlignment="1">
      <alignment horizontal="center" vertical="top"/>
    </xf>
    <xf numFmtId="164" fontId="2" fillId="17" borderId="5" xfId="1" applyNumberFormat="1" applyFont="1" applyFill="1" applyBorder="1" applyAlignment="1">
      <alignment horizontal="center" vertical="top"/>
    </xf>
    <xf numFmtId="164" fontId="2" fillId="17" borderId="5" xfId="0" applyNumberFormat="1" applyFont="1" applyFill="1" applyBorder="1" applyAlignment="1">
      <alignment horizontal="center" vertical="top"/>
    </xf>
    <xf numFmtId="0" fontId="2" fillId="17" borderId="9" xfId="0" applyFont="1" applyFill="1" applyBorder="1" applyAlignment="1">
      <alignment horizontal="center" vertical="top"/>
    </xf>
    <xf numFmtId="3" fontId="2" fillId="0" borderId="5" xfId="0" applyNumberFormat="1" applyFont="1" applyBorder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  <xf numFmtId="164" fontId="2" fillId="18" borderId="5" xfId="1" applyNumberFormat="1" applyFont="1" applyFill="1" applyBorder="1" applyAlignment="1">
      <alignment horizontal="center" vertical="top"/>
    </xf>
    <xf numFmtId="0" fontId="2" fillId="19" borderId="5" xfId="0" applyFont="1" applyFill="1" applyBorder="1" applyAlignment="1">
      <alignment horizontal="center" vertical="top"/>
    </xf>
    <xf numFmtId="164" fontId="2" fillId="19" borderId="5" xfId="1" applyNumberFormat="1" applyFont="1" applyFill="1" applyBorder="1" applyAlignment="1">
      <alignment horizontal="center" vertical="top"/>
    </xf>
    <xf numFmtId="164" fontId="2" fillId="19" borderId="5" xfId="0" applyNumberFormat="1" applyFont="1" applyFill="1" applyBorder="1" applyAlignment="1">
      <alignment horizontal="center" vertical="top"/>
    </xf>
    <xf numFmtId="16" fontId="2" fillId="0" borderId="5" xfId="0" applyNumberFormat="1" applyFont="1" applyBorder="1" applyAlignment="1">
      <alignment horizontal="center" vertical="top"/>
    </xf>
    <xf numFmtId="164" fontId="2" fillId="0" borderId="5" xfId="1" applyNumberFormat="1" applyFont="1" applyFill="1" applyBorder="1" applyAlignment="1">
      <alignment horizontal="center" vertical="top"/>
    </xf>
    <xf numFmtId="16" fontId="2" fillId="2" borderId="5" xfId="1" applyNumberFormat="1" applyFont="1" applyFill="1" applyBorder="1" applyAlignment="1">
      <alignment horizontal="center" vertical="top"/>
    </xf>
    <xf numFmtId="0" fontId="5" fillId="15" borderId="10" xfId="0" applyFont="1" applyFill="1" applyBorder="1" applyAlignment="1">
      <alignment horizontal="center" vertical="top"/>
    </xf>
    <xf numFmtId="0" fontId="5" fillId="17" borderId="2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13" borderId="2" xfId="0" applyFont="1" applyFill="1" applyBorder="1" applyAlignment="1">
      <alignment horizontal="center" vertical="top"/>
    </xf>
    <xf numFmtId="164" fontId="2" fillId="14" borderId="2" xfId="1" applyNumberFormat="1" applyFont="1" applyFill="1" applyBorder="1" applyAlignment="1">
      <alignment horizontal="center" vertical="top"/>
    </xf>
    <xf numFmtId="164" fontId="2" fillId="0" borderId="2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16" fontId="2" fillId="2" borderId="2" xfId="0" applyNumberFormat="1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6" fillId="4" borderId="2" xfId="0" applyFont="1" applyFill="1" applyBorder="1" applyAlignment="1">
      <alignment horizontal="center" vertical="top"/>
    </xf>
    <xf numFmtId="0" fontId="6" fillId="5" borderId="2" xfId="0" applyFont="1" applyFill="1" applyBorder="1" applyAlignment="1">
      <alignment horizontal="center" vertical="top"/>
    </xf>
    <xf numFmtId="0" fontId="6" fillId="6" borderId="2" xfId="0" applyFont="1" applyFill="1" applyBorder="1" applyAlignment="1">
      <alignment horizontal="center" vertical="top"/>
    </xf>
    <xf numFmtId="0" fontId="6" fillId="7" borderId="2" xfId="0" applyFont="1" applyFill="1" applyBorder="1" applyAlignment="1">
      <alignment horizontal="center" vertical="top"/>
    </xf>
    <xf numFmtId="0" fontId="6" fillId="8" borderId="2" xfId="0" applyFont="1" applyFill="1" applyBorder="1" applyAlignment="1">
      <alignment horizontal="center" vertical="top"/>
    </xf>
    <xf numFmtId="0" fontId="6" fillId="9" borderId="2" xfId="0" applyFont="1" applyFill="1" applyBorder="1" applyAlignment="1">
      <alignment horizontal="center" vertical="top"/>
    </xf>
    <xf numFmtId="0" fontId="6" fillId="10" borderId="2" xfId="0" applyFont="1" applyFill="1" applyBorder="1" applyAlignment="1">
      <alignment horizontal="center" vertical="top"/>
    </xf>
    <xf numFmtId="0" fontId="6" fillId="11" borderId="2" xfId="0" applyFont="1" applyFill="1" applyBorder="1" applyAlignment="1">
      <alignment horizontal="center" vertical="top"/>
    </xf>
    <xf numFmtId="0" fontId="5" fillId="12" borderId="2" xfId="0" applyFont="1" applyFill="1" applyBorder="1" applyAlignment="1">
      <alignment horizontal="center" vertical="top"/>
    </xf>
    <xf numFmtId="0" fontId="5" fillId="13" borderId="3" xfId="0" applyFont="1" applyFill="1" applyBorder="1" applyAlignment="1">
      <alignment horizontal="center" vertical="top"/>
    </xf>
    <xf numFmtId="164" fontId="5" fillId="14" borderId="4" xfId="1" applyNumberFormat="1" applyFont="1" applyFill="1" applyBorder="1" applyAlignment="1">
      <alignment horizontal="center" vertical="top"/>
    </xf>
    <xf numFmtId="164" fontId="5" fillId="0" borderId="4" xfId="0" applyNumberFormat="1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16" fontId="5" fillId="2" borderId="1" xfId="0" applyNumberFormat="1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center" vertical="top"/>
    </xf>
    <xf numFmtId="0" fontId="5" fillId="5" borderId="2" xfId="0" applyFont="1" applyFill="1" applyBorder="1" applyAlignment="1">
      <alignment horizontal="center" vertical="top"/>
    </xf>
    <xf numFmtId="0" fontId="5" fillId="6" borderId="2" xfId="0" applyFont="1" applyFill="1" applyBorder="1" applyAlignment="1">
      <alignment horizontal="center" vertical="top"/>
    </xf>
    <xf numFmtId="0" fontId="5" fillId="7" borderId="2" xfId="0" applyFont="1" applyFill="1" applyBorder="1" applyAlignment="1">
      <alignment horizontal="center" vertical="top"/>
    </xf>
    <xf numFmtId="0" fontId="5" fillId="8" borderId="2" xfId="0" applyFont="1" applyFill="1" applyBorder="1" applyAlignment="1">
      <alignment horizontal="center" vertical="top"/>
    </xf>
    <xf numFmtId="0" fontId="5" fillId="9" borderId="2" xfId="0" applyFont="1" applyFill="1" applyBorder="1" applyAlignment="1">
      <alignment horizontal="center" vertical="top"/>
    </xf>
    <xf numFmtId="0" fontId="5" fillId="10" borderId="2" xfId="0" applyFont="1" applyFill="1" applyBorder="1" applyAlignment="1">
      <alignment horizontal="center" vertical="top"/>
    </xf>
    <xf numFmtId="0" fontId="5" fillId="11" borderId="2" xfId="0" applyFont="1" applyFill="1" applyBorder="1" applyAlignment="1">
      <alignment horizontal="center" vertical="top"/>
    </xf>
    <xf numFmtId="164" fontId="5" fillId="14" borderId="5" xfId="1" applyNumberFormat="1" applyFont="1" applyFill="1" applyBorder="1" applyAlignment="1">
      <alignment horizontal="center" vertical="top"/>
    </xf>
    <xf numFmtId="164" fontId="5" fillId="0" borderId="5" xfId="0" applyNumberFormat="1" applyFont="1" applyBorder="1" applyAlignment="1">
      <alignment horizontal="center" vertical="top"/>
    </xf>
    <xf numFmtId="16" fontId="5" fillId="15" borderId="1" xfId="0" applyNumberFormat="1" applyFont="1" applyFill="1" applyBorder="1" applyAlignment="1">
      <alignment horizontal="center" vertical="top"/>
    </xf>
    <xf numFmtId="0" fontId="5" fillId="15" borderId="3" xfId="0" applyFont="1" applyFill="1" applyBorder="1" applyAlignment="1">
      <alignment horizontal="center" vertical="top"/>
    </xf>
    <xf numFmtId="164" fontId="5" fillId="15" borderId="5" xfId="1" applyNumberFormat="1" applyFont="1" applyFill="1" applyBorder="1" applyAlignment="1">
      <alignment horizontal="center" vertical="top"/>
    </xf>
    <xf numFmtId="164" fontId="5" fillId="15" borderId="5" xfId="0" applyNumberFormat="1" applyFont="1" applyFill="1" applyBorder="1" applyAlignment="1">
      <alignment horizontal="center" vertical="top"/>
    </xf>
    <xf numFmtId="0" fontId="5" fillId="15" borderId="5" xfId="0" applyFont="1" applyFill="1" applyBorder="1" applyAlignment="1">
      <alignment horizontal="center" vertical="top"/>
    </xf>
    <xf numFmtId="0" fontId="5" fillId="15" borderId="1" xfId="0" applyFont="1" applyFill="1" applyBorder="1" applyAlignment="1">
      <alignment horizontal="center" vertical="top"/>
    </xf>
    <xf numFmtId="16" fontId="5" fillId="2" borderId="6" xfId="0" applyNumberFormat="1" applyFont="1" applyFill="1" applyBorder="1" applyAlignment="1">
      <alignment horizontal="center" vertical="top"/>
    </xf>
    <xf numFmtId="0" fontId="5" fillId="4" borderId="7" xfId="0" applyFont="1" applyFill="1" applyBorder="1" applyAlignment="1">
      <alignment horizontal="center" vertical="top"/>
    </xf>
    <xf numFmtId="0" fontId="5" fillId="5" borderId="7" xfId="0" applyFont="1" applyFill="1" applyBorder="1" applyAlignment="1">
      <alignment horizontal="center" vertical="top"/>
    </xf>
    <xf numFmtId="0" fontId="5" fillId="6" borderId="7" xfId="0" applyFont="1" applyFill="1" applyBorder="1" applyAlignment="1">
      <alignment horizontal="center" vertical="top"/>
    </xf>
    <xf numFmtId="0" fontId="5" fillId="7" borderId="7" xfId="0" applyFont="1" applyFill="1" applyBorder="1" applyAlignment="1">
      <alignment horizontal="center" vertical="top"/>
    </xf>
    <xf numFmtId="0" fontId="5" fillId="8" borderId="7" xfId="0" applyFont="1" applyFill="1" applyBorder="1" applyAlignment="1">
      <alignment horizontal="center" vertical="top"/>
    </xf>
    <xf numFmtId="0" fontId="5" fillId="9" borderId="7" xfId="0" applyFont="1" applyFill="1" applyBorder="1" applyAlignment="1">
      <alignment horizontal="center" vertical="top"/>
    </xf>
    <xf numFmtId="0" fontId="5" fillId="10" borderId="7" xfId="0" applyFont="1" applyFill="1" applyBorder="1" applyAlignment="1">
      <alignment horizontal="center" vertical="top"/>
    </xf>
    <xf numFmtId="0" fontId="5" fillId="11" borderId="7" xfId="0" applyFont="1" applyFill="1" applyBorder="1" applyAlignment="1">
      <alignment horizontal="center" vertical="top"/>
    </xf>
    <xf numFmtId="0" fontId="5" fillId="13" borderId="8" xfId="0" applyFont="1" applyFill="1" applyBorder="1" applyAlignment="1">
      <alignment horizontal="center" vertical="top"/>
    </xf>
    <xf numFmtId="164" fontId="5" fillId="14" borderId="7" xfId="1" applyNumberFormat="1" applyFont="1" applyFill="1" applyBorder="1" applyAlignment="1">
      <alignment horizontal="center" vertical="top"/>
    </xf>
    <xf numFmtId="164" fontId="5" fillId="0" borderId="7" xfId="0" applyNumberFormat="1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3" borderId="9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5" borderId="5" xfId="0" applyFont="1" applyFill="1" applyBorder="1" applyAlignment="1">
      <alignment horizontal="center" vertical="top"/>
    </xf>
    <xf numFmtId="0" fontId="5" fillId="6" borderId="5" xfId="0" applyFont="1" applyFill="1" applyBorder="1" applyAlignment="1">
      <alignment horizontal="center" vertical="top"/>
    </xf>
    <xf numFmtId="0" fontId="5" fillId="7" borderId="5" xfId="0" applyFont="1" applyFill="1" applyBorder="1" applyAlignment="1">
      <alignment horizontal="center" vertical="top"/>
    </xf>
    <xf numFmtId="0" fontId="5" fillId="8" borderId="5" xfId="0" applyFont="1" applyFill="1" applyBorder="1" applyAlignment="1">
      <alignment horizontal="center" vertical="top"/>
    </xf>
    <xf numFmtId="0" fontId="5" fillId="9" borderId="5" xfId="0" applyFont="1" applyFill="1" applyBorder="1" applyAlignment="1">
      <alignment horizontal="center" vertical="top"/>
    </xf>
    <xf numFmtId="0" fontId="5" fillId="10" borderId="5" xfId="0" applyFont="1" applyFill="1" applyBorder="1" applyAlignment="1">
      <alignment horizontal="center" vertical="top"/>
    </xf>
    <xf numFmtId="0" fontId="5" fillId="11" borderId="5" xfId="0" applyFont="1" applyFill="1" applyBorder="1" applyAlignment="1">
      <alignment horizontal="center" vertical="top"/>
    </xf>
    <xf numFmtId="0" fontId="5" fillId="13" borderId="5" xfId="0" applyFont="1" applyFill="1" applyBorder="1" applyAlignment="1">
      <alignment horizontal="center" vertical="top"/>
    </xf>
    <xf numFmtId="0" fontId="5" fillId="15" borderId="9" xfId="0" applyFont="1" applyFill="1" applyBorder="1" applyAlignment="1">
      <alignment horizontal="center" vertical="top"/>
    </xf>
    <xf numFmtId="16" fontId="5" fillId="2" borderId="5" xfId="0" applyNumberFormat="1" applyFont="1" applyFill="1" applyBorder="1" applyAlignment="1">
      <alignment horizontal="center" vertical="top"/>
    </xf>
    <xf numFmtId="3" fontId="5" fillId="15" borderId="5" xfId="0" applyNumberFormat="1" applyFont="1" applyFill="1" applyBorder="1" applyAlignment="1">
      <alignment horizontal="center" vertical="top"/>
    </xf>
    <xf numFmtId="0" fontId="5" fillId="16" borderId="5" xfId="0" applyFont="1" applyFill="1" applyBorder="1" applyAlignment="1">
      <alignment horizontal="center" vertical="top"/>
    </xf>
    <xf numFmtId="164" fontId="5" fillId="16" borderId="5" xfId="1" applyNumberFormat="1" applyFont="1" applyFill="1" applyBorder="1" applyAlignment="1">
      <alignment horizontal="center" vertical="top"/>
    </xf>
    <xf numFmtId="164" fontId="5" fillId="16" borderId="5" xfId="0" applyNumberFormat="1" applyFont="1" applyFill="1" applyBorder="1" applyAlignment="1">
      <alignment horizontal="center" vertical="top"/>
    </xf>
    <xf numFmtId="16" fontId="5" fillId="15" borderId="5" xfId="0" applyNumberFormat="1" applyFont="1" applyFill="1" applyBorder="1" applyAlignment="1">
      <alignment horizontal="center" vertical="top"/>
    </xf>
    <xf numFmtId="0" fontId="5" fillId="17" borderId="5" xfId="0" applyFont="1" applyFill="1" applyBorder="1" applyAlignment="1">
      <alignment horizontal="center" vertical="top"/>
    </xf>
    <xf numFmtId="164" fontId="5" fillId="17" borderId="5" xfId="1" applyNumberFormat="1" applyFont="1" applyFill="1" applyBorder="1" applyAlignment="1">
      <alignment horizontal="center" vertical="top"/>
    </xf>
    <xf numFmtId="164" fontId="5" fillId="17" borderId="5" xfId="0" applyNumberFormat="1" applyFont="1" applyFill="1" applyBorder="1" applyAlignment="1">
      <alignment horizontal="center" vertical="top"/>
    </xf>
    <xf numFmtId="0" fontId="5" fillId="20" borderId="5" xfId="0" applyFont="1" applyFill="1" applyBorder="1" applyAlignment="1">
      <alignment horizontal="center" vertical="top"/>
    </xf>
    <xf numFmtId="0" fontId="5" fillId="20" borderId="9" xfId="0" applyFont="1" applyFill="1" applyBorder="1" applyAlignment="1">
      <alignment horizontal="center" vertical="top"/>
    </xf>
    <xf numFmtId="164" fontId="5" fillId="20" borderId="5" xfId="1" applyNumberFormat="1" applyFont="1" applyFill="1" applyBorder="1" applyAlignment="1">
      <alignment horizontal="center" vertical="top"/>
    </xf>
    <xf numFmtId="164" fontId="5" fillId="20" borderId="5" xfId="0" applyNumberFormat="1" applyFont="1" applyFill="1" applyBorder="1" applyAlignment="1">
      <alignment horizontal="center" vertical="top"/>
    </xf>
    <xf numFmtId="0" fontId="5" fillId="2" borderId="5" xfId="0" applyFont="1" applyFill="1" applyBorder="1" applyAlignment="1">
      <alignment horizontal="center" vertical="top"/>
    </xf>
    <xf numFmtId="0" fontId="5" fillId="12" borderId="5" xfId="0" applyFont="1" applyFill="1" applyBorder="1" applyAlignment="1">
      <alignment horizontal="center" vertical="top"/>
    </xf>
    <xf numFmtId="0" fontId="5" fillId="3" borderId="7" xfId="0" applyFont="1" applyFill="1" applyBorder="1" applyAlignment="1">
      <alignment horizontal="center" vertical="top"/>
    </xf>
    <xf numFmtId="164" fontId="5" fillId="18" borderId="5" xfId="1" applyNumberFormat="1" applyFont="1" applyFill="1" applyBorder="1" applyAlignment="1">
      <alignment horizontal="center" vertical="top"/>
    </xf>
    <xf numFmtId="3" fontId="5" fillId="0" borderId="5" xfId="0" applyNumberFormat="1" applyFont="1" applyBorder="1" applyAlignment="1">
      <alignment horizontal="center" vertical="top"/>
    </xf>
    <xf numFmtId="0" fontId="5" fillId="19" borderId="5" xfId="0" applyFont="1" applyFill="1" applyBorder="1" applyAlignment="1">
      <alignment horizontal="center" vertical="top"/>
    </xf>
    <xf numFmtId="164" fontId="5" fillId="19" borderId="5" xfId="1" applyNumberFormat="1" applyFont="1" applyFill="1" applyBorder="1" applyAlignment="1">
      <alignment horizontal="center" vertical="top"/>
    </xf>
    <xf numFmtId="164" fontId="5" fillId="19" borderId="5" xfId="0" applyNumberFormat="1" applyFont="1" applyFill="1" applyBorder="1" applyAlignment="1">
      <alignment horizontal="center" vertical="top"/>
    </xf>
    <xf numFmtId="16" fontId="5" fillId="0" borderId="5" xfId="0" applyNumberFormat="1" applyFont="1" applyBorder="1" applyAlignment="1">
      <alignment horizontal="center" vertical="top"/>
    </xf>
    <xf numFmtId="164" fontId="5" fillId="0" borderId="5" xfId="1" applyNumberFormat="1" applyFont="1" applyFill="1" applyBorder="1" applyAlignment="1">
      <alignment horizontal="center" vertical="top"/>
    </xf>
    <xf numFmtId="16" fontId="5" fillId="2" borderId="5" xfId="1" applyNumberFormat="1" applyFont="1" applyFill="1" applyBorder="1" applyAlignment="1">
      <alignment horizontal="center" vertical="top"/>
    </xf>
    <xf numFmtId="0" fontId="3" fillId="12" borderId="3" xfId="0" applyFont="1" applyFill="1" applyBorder="1" applyAlignment="1">
      <alignment horizontal="center" vertical="top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9C3F-150A-4741-BC9C-8FE28DA6FBFC}">
  <dimension ref="A1:S1116"/>
  <sheetViews>
    <sheetView tabSelected="1" view="pageBreakPreview" zoomScale="70" zoomScaleNormal="90" zoomScaleSheetLayoutView="70" workbookViewId="0">
      <pane ySplit="1" topLeftCell="A25" activePane="bottomLeft" state="frozen"/>
      <selection pane="bottomLeft" activeCell="E58" sqref="E58"/>
    </sheetView>
  </sheetViews>
  <sheetFormatPr defaultColWidth="8.88671875" defaultRowHeight="15.6" x14ac:dyDescent="0.3"/>
  <cols>
    <col min="1" max="1" width="14.109375" style="145" bestFit="1" customWidth="1"/>
    <col min="2" max="2" width="41.5546875" style="74" customWidth="1"/>
    <col min="3" max="3" width="10.44140625" style="74" customWidth="1"/>
    <col min="4" max="4" width="10.88671875" style="122" bestFit="1" customWidth="1"/>
    <col min="5" max="5" width="10.88671875" style="123" bestFit="1" customWidth="1"/>
    <col min="6" max="6" width="10.88671875" style="124" bestFit="1" customWidth="1"/>
    <col min="7" max="7" width="10.88671875" style="125" bestFit="1" customWidth="1"/>
    <col min="8" max="8" width="8.88671875" style="126"/>
    <col min="9" max="9" width="8.88671875" style="127"/>
    <col min="10" max="10" width="11.109375" style="128" customWidth="1"/>
    <col min="11" max="11" width="14.44140625" style="128" customWidth="1"/>
    <col min="12" max="12" width="12.33203125" style="128" customWidth="1"/>
    <col min="13" max="13" width="8.5546875" style="129" customWidth="1"/>
    <col min="14" max="14" width="10" style="146" customWidth="1"/>
    <col min="15" max="15" width="8.5546875" style="130" customWidth="1"/>
    <col min="16" max="16" width="17.109375" style="100" customWidth="1"/>
    <col min="17" max="17" width="19.109375" style="101" customWidth="1"/>
    <col min="18" max="18" width="15.33203125" style="90" customWidth="1"/>
    <col min="19" max="19" width="12.88671875" style="90" bestFit="1" customWidth="1"/>
    <col min="20" max="16384" width="8.88671875" style="90"/>
  </cols>
  <sheetData>
    <row r="1" spans="1:19" ht="26.4" customHeight="1" x14ac:dyDescent="0.3">
      <c r="A1" s="76" t="s">
        <v>0</v>
      </c>
      <c r="B1" s="17" t="s">
        <v>1</v>
      </c>
      <c r="C1" s="17" t="s">
        <v>2</v>
      </c>
      <c r="D1" s="77" t="s">
        <v>3</v>
      </c>
      <c r="E1" s="78" t="s">
        <v>4</v>
      </c>
      <c r="F1" s="79" t="s">
        <v>5</v>
      </c>
      <c r="G1" s="80" t="s">
        <v>6</v>
      </c>
      <c r="H1" s="81" t="s">
        <v>7</v>
      </c>
      <c r="I1" s="82" t="s">
        <v>8</v>
      </c>
      <c r="J1" s="83" t="s">
        <v>9</v>
      </c>
      <c r="K1" s="83" t="s">
        <v>10</v>
      </c>
      <c r="L1" s="83" t="s">
        <v>11</v>
      </c>
      <c r="M1" s="84" t="s">
        <v>12</v>
      </c>
      <c r="N1" s="85" t="s">
        <v>13</v>
      </c>
      <c r="O1" s="86" t="s">
        <v>14</v>
      </c>
      <c r="P1" s="87" t="s">
        <v>15</v>
      </c>
      <c r="Q1" s="88" t="s">
        <v>16</v>
      </c>
      <c r="R1" s="89" t="s">
        <v>17</v>
      </c>
      <c r="S1" s="89" t="s">
        <v>18</v>
      </c>
    </row>
    <row r="2" spans="1:19" x14ac:dyDescent="0.3">
      <c r="A2" s="91">
        <v>46027</v>
      </c>
      <c r="B2" s="17" t="s">
        <v>30</v>
      </c>
      <c r="C2" s="17"/>
      <c r="D2" s="92"/>
      <c r="E2" s="93"/>
      <c r="F2" s="94"/>
      <c r="G2" s="95">
        <v>10</v>
      </c>
      <c r="H2" s="96"/>
      <c r="I2" s="97"/>
      <c r="J2" s="98"/>
      <c r="K2" s="98"/>
      <c r="L2" s="98"/>
      <c r="M2" s="99"/>
      <c r="N2" s="85">
        <f>SUM(C2:M2)</f>
        <v>10</v>
      </c>
      <c r="O2" s="86"/>
      <c r="P2" s="100" t="s">
        <v>26</v>
      </c>
      <c r="Q2" s="101">
        <f>560000*10</f>
        <v>5600000</v>
      </c>
    </row>
    <row r="3" spans="1:19" s="106" customFormat="1" x14ac:dyDescent="0.3">
      <c r="A3" s="10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>
        <f>SUM(N2)</f>
        <v>10</v>
      </c>
      <c r="O3" s="103">
        <v>20.5</v>
      </c>
      <c r="P3" s="104"/>
      <c r="Q3" s="105">
        <f>SUM(Q2)</f>
        <v>5600000</v>
      </c>
    </row>
    <row r="4" spans="1:19" x14ac:dyDescent="0.3">
      <c r="A4" s="91">
        <v>46028</v>
      </c>
      <c r="B4" s="17" t="s">
        <v>27</v>
      </c>
      <c r="C4" s="17"/>
      <c r="D4" s="92"/>
      <c r="E4" s="93"/>
      <c r="F4" s="94">
        <v>7</v>
      </c>
      <c r="G4" s="95"/>
      <c r="H4" s="96"/>
      <c r="I4" s="97"/>
      <c r="J4" s="98"/>
      <c r="K4" s="98"/>
      <c r="L4" s="98"/>
      <c r="M4" s="99"/>
      <c r="N4" s="85">
        <f t="shared" ref="N4:N5" si="0">SUM(C4:M4)</f>
        <v>7</v>
      </c>
      <c r="O4" s="86"/>
      <c r="P4" s="100" t="s">
        <v>26</v>
      </c>
      <c r="Q4" s="101">
        <f>7*520000</f>
        <v>3640000</v>
      </c>
    </row>
    <row r="5" spans="1:19" x14ac:dyDescent="0.3">
      <c r="A5" s="91">
        <v>46028</v>
      </c>
      <c r="B5" s="17" t="s">
        <v>30</v>
      </c>
      <c r="C5" s="17"/>
      <c r="D5" s="92"/>
      <c r="E5" s="93"/>
      <c r="F5" s="94"/>
      <c r="G5" s="95">
        <v>15</v>
      </c>
      <c r="H5" s="96"/>
      <c r="I5" s="97"/>
      <c r="J5" s="98"/>
      <c r="K5" s="98"/>
      <c r="L5" s="98"/>
      <c r="M5" s="99"/>
      <c r="N5" s="85">
        <f t="shared" si="0"/>
        <v>15</v>
      </c>
      <c r="O5" s="86"/>
      <c r="P5" s="100" t="s">
        <v>26</v>
      </c>
      <c r="Q5" s="101">
        <f>15*560000</f>
        <v>8400000</v>
      </c>
    </row>
    <row r="6" spans="1:19" s="106" customFormat="1" x14ac:dyDescent="0.3">
      <c r="A6" s="102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>
        <f>SUM(N4:N5)</f>
        <v>22</v>
      </c>
      <c r="O6" s="103">
        <v>59</v>
      </c>
      <c r="P6" s="104"/>
      <c r="Q6" s="105">
        <f>SUM(Q4:Q5)</f>
        <v>12040000</v>
      </c>
    </row>
    <row r="7" spans="1:19" x14ac:dyDescent="0.3">
      <c r="A7" s="91">
        <v>46030</v>
      </c>
      <c r="B7" s="17" t="s">
        <v>28</v>
      </c>
      <c r="C7" s="17"/>
      <c r="D7" s="92"/>
      <c r="E7" s="93"/>
      <c r="F7" s="94"/>
      <c r="G7" s="95">
        <v>60</v>
      </c>
      <c r="H7" s="96"/>
      <c r="I7" s="97"/>
      <c r="J7" s="98"/>
      <c r="K7" s="98"/>
      <c r="L7" s="98"/>
      <c r="M7" s="99"/>
      <c r="N7" s="85">
        <f t="shared" ref="N7:N9" si="1">SUM(C7:M7)</f>
        <v>60</v>
      </c>
      <c r="O7" s="86"/>
      <c r="P7" s="100" t="s">
        <v>26</v>
      </c>
      <c r="Q7" s="101">
        <f>60*580000</f>
        <v>34800000</v>
      </c>
    </row>
    <row r="8" spans="1:19" x14ac:dyDescent="0.3">
      <c r="A8" s="91">
        <v>46031</v>
      </c>
      <c r="B8" s="17" t="s">
        <v>27</v>
      </c>
      <c r="C8" s="17"/>
      <c r="D8" s="92"/>
      <c r="E8" s="93"/>
      <c r="F8" s="94">
        <v>28</v>
      </c>
      <c r="G8" s="95"/>
      <c r="H8" s="96"/>
      <c r="I8" s="97"/>
      <c r="J8" s="98"/>
      <c r="K8" s="98"/>
      <c r="L8" s="98"/>
      <c r="M8" s="99"/>
      <c r="N8" s="85">
        <f t="shared" si="1"/>
        <v>28</v>
      </c>
      <c r="O8" s="86"/>
      <c r="P8" s="100" t="s">
        <v>26</v>
      </c>
      <c r="Q8" s="101">
        <f>28*520000</f>
        <v>14560000</v>
      </c>
    </row>
    <row r="9" spans="1:19" x14ac:dyDescent="0.3">
      <c r="A9" s="91">
        <v>46031</v>
      </c>
      <c r="B9" s="17" t="s">
        <v>28</v>
      </c>
      <c r="C9" s="17"/>
      <c r="D9" s="92"/>
      <c r="E9" s="93"/>
      <c r="F9" s="94"/>
      <c r="G9" s="95">
        <v>22.5</v>
      </c>
      <c r="H9" s="96"/>
      <c r="I9" s="97"/>
      <c r="J9" s="98"/>
      <c r="K9" s="98"/>
      <c r="L9" s="98"/>
      <c r="M9" s="99"/>
      <c r="N9" s="85">
        <f t="shared" si="1"/>
        <v>22.5</v>
      </c>
      <c r="O9" s="86"/>
      <c r="P9" s="100" t="s">
        <v>29</v>
      </c>
      <c r="Q9" s="101">
        <f>22.5*580000</f>
        <v>13050000</v>
      </c>
    </row>
    <row r="10" spans="1:19" s="106" customFormat="1" x14ac:dyDescent="0.3">
      <c r="A10" s="107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>
        <f>SUM(N7:N9)</f>
        <v>110.5</v>
      </c>
      <c r="O10" s="103">
        <v>111</v>
      </c>
      <c r="P10" s="104"/>
      <c r="Q10" s="105">
        <f>SUM(Q8:Q9)</f>
        <v>27610000</v>
      </c>
    </row>
    <row r="11" spans="1:19" x14ac:dyDescent="0.3">
      <c r="A11" s="91">
        <v>46032</v>
      </c>
      <c r="B11" s="17" t="s">
        <v>30</v>
      </c>
      <c r="C11" s="17"/>
      <c r="D11" s="92"/>
      <c r="E11" s="93"/>
      <c r="F11" s="94"/>
      <c r="G11" s="95">
        <v>50</v>
      </c>
      <c r="H11" s="96"/>
      <c r="I11" s="97"/>
      <c r="J11" s="98"/>
      <c r="K11" s="98"/>
      <c r="L11" s="98"/>
      <c r="M11" s="99"/>
      <c r="N11" s="85">
        <f>SUM(C11:M11)</f>
        <v>50</v>
      </c>
      <c r="O11" s="86"/>
      <c r="P11" s="100" t="s">
        <v>26</v>
      </c>
      <c r="Q11" s="101">
        <f>570000*50</f>
        <v>28500000</v>
      </c>
    </row>
    <row r="12" spans="1:19" s="106" customFormat="1" x14ac:dyDescent="0.3">
      <c r="A12" s="107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>
        <f>SUM(N11)</f>
        <v>50</v>
      </c>
      <c r="O12" s="103">
        <v>99</v>
      </c>
      <c r="P12" s="104"/>
      <c r="Q12" s="105">
        <f>SUM(Q11:Q11)</f>
        <v>28500000</v>
      </c>
    </row>
    <row r="13" spans="1:19" x14ac:dyDescent="0.3">
      <c r="A13" s="91">
        <v>46033</v>
      </c>
      <c r="B13" s="17" t="s">
        <v>31</v>
      </c>
      <c r="C13" s="17"/>
      <c r="D13" s="92"/>
      <c r="E13" s="93"/>
      <c r="F13" s="94"/>
      <c r="G13" s="95"/>
      <c r="H13" s="96">
        <v>80</v>
      </c>
      <c r="I13" s="97"/>
      <c r="J13" s="98"/>
      <c r="K13" s="98"/>
      <c r="L13" s="98"/>
      <c r="M13" s="99"/>
      <c r="N13" s="85">
        <f t="shared" ref="N13:N14" si="2">SUM(C13:M13)</f>
        <v>80</v>
      </c>
      <c r="O13" s="86"/>
      <c r="P13" s="100" t="s">
        <v>26</v>
      </c>
      <c r="Q13" s="101">
        <f>80*600000</f>
        <v>48000000</v>
      </c>
    </row>
    <row r="14" spans="1:19" x14ac:dyDescent="0.3">
      <c r="A14" s="91">
        <v>46033</v>
      </c>
      <c r="B14" s="17" t="s">
        <v>32</v>
      </c>
      <c r="C14" s="17"/>
      <c r="D14" s="92"/>
      <c r="E14" s="93"/>
      <c r="F14" s="94">
        <v>29</v>
      </c>
      <c r="G14" s="95"/>
      <c r="H14" s="96"/>
      <c r="I14" s="97"/>
      <c r="J14" s="98"/>
      <c r="K14" s="98"/>
      <c r="L14" s="98"/>
      <c r="M14" s="99"/>
      <c r="N14" s="85">
        <f t="shared" si="2"/>
        <v>29</v>
      </c>
      <c r="O14" s="86"/>
      <c r="P14" s="100" t="s">
        <v>26</v>
      </c>
      <c r="Q14" s="101">
        <f>29*520000</f>
        <v>15080000</v>
      </c>
    </row>
    <row r="15" spans="1:19" s="106" customFormat="1" x14ac:dyDescent="0.3">
      <c r="A15" s="107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>
        <f>SUM(N13:N14)</f>
        <v>109</v>
      </c>
      <c r="O15" s="103">
        <v>129.5</v>
      </c>
      <c r="P15" s="104"/>
      <c r="Q15" s="105">
        <f>SUM(Q13:Q14)</f>
        <v>63080000</v>
      </c>
    </row>
    <row r="16" spans="1:19" x14ac:dyDescent="0.3">
      <c r="A16" s="108">
        <v>46036</v>
      </c>
      <c r="B16" s="17" t="s">
        <v>33</v>
      </c>
      <c r="C16" s="17"/>
      <c r="D16" s="109"/>
      <c r="E16" s="110"/>
      <c r="F16" s="111">
        <v>40</v>
      </c>
      <c r="G16" s="112"/>
      <c r="H16" s="113"/>
      <c r="I16" s="114"/>
      <c r="J16" s="115"/>
      <c r="K16" s="115"/>
      <c r="L16" s="115"/>
      <c r="M16" s="116"/>
      <c r="N16" s="85">
        <f t="shared" ref="N16:N17" si="3">SUM(C16:M16)</f>
        <v>40</v>
      </c>
      <c r="O16" s="117"/>
      <c r="P16" s="118" t="s">
        <v>26</v>
      </c>
      <c r="Q16" s="119">
        <f>40*520000</f>
        <v>20800000</v>
      </c>
      <c r="R16" s="120"/>
      <c r="S16" s="120"/>
    </row>
    <row r="17" spans="1:18" x14ac:dyDescent="0.3">
      <c r="A17" s="108">
        <v>46036</v>
      </c>
      <c r="B17" s="121" t="s">
        <v>34</v>
      </c>
      <c r="C17" s="17"/>
      <c r="H17" s="126">
        <v>43</v>
      </c>
      <c r="N17" s="85">
        <f t="shared" si="3"/>
        <v>43</v>
      </c>
      <c r="P17" s="100" t="s">
        <v>26</v>
      </c>
      <c r="Q17" s="101">
        <f>43*580000</f>
        <v>24940000</v>
      </c>
    </row>
    <row r="18" spans="1:18" s="106" customFormat="1" x14ac:dyDescent="0.3">
      <c r="B18" s="131"/>
      <c r="C18" s="30"/>
      <c r="N18" s="106">
        <f>SUM(N16:N17)</f>
        <v>83</v>
      </c>
      <c r="O18" s="106" t="s">
        <v>36</v>
      </c>
      <c r="P18" s="104"/>
      <c r="Q18" s="105">
        <f>SUM(Q16:Q17)</f>
        <v>45740000</v>
      </c>
    </row>
    <row r="19" spans="1:18" x14ac:dyDescent="0.3">
      <c r="A19" s="132">
        <v>46037</v>
      </c>
      <c r="B19" s="17" t="s">
        <v>35</v>
      </c>
      <c r="C19" s="17"/>
      <c r="G19" s="125">
        <v>1110</v>
      </c>
      <c r="N19" s="85">
        <f>SUM(C19:M19)</f>
        <v>1110</v>
      </c>
      <c r="P19" s="100" t="s">
        <v>26</v>
      </c>
      <c r="Q19" s="101">
        <f>1110*560000</f>
        <v>621600000</v>
      </c>
    </row>
    <row r="20" spans="1:18" s="106" customFormat="1" x14ac:dyDescent="0.3">
      <c r="B20" s="30"/>
      <c r="C20" s="30"/>
      <c r="N20" s="106">
        <f>SUM(N19)</f>
        <v>1110</v>
      </c>
      <c r="O20" s="106">
        <v>783.5</v>
      </c>
      <c r="P20" s="104"/>
      <c r="Q20" s="105">
        <f>SUM(Q19)</f>
        <v>621600000</v>
      </c>
    </row>
    <row r="21" spans="1:18" x14ac:dyDescent="0.3">
      <c r="A21" s="132">
        <v>46038</v>
      </c>
      <c r="B21" s="17" t="s">
        <v>33</v>
      </c>
      <c r="C21" s="17"/>
      <c r="D21" s="122">
        <v>30</v>
      </c>
      <c r="N21" s="85">
        <f t="shared" ref="N21:N23" si="4">SUM(C21:M21)</f>
        <v>30</v>
      </c>
      <c r="P21" s="100" t="s">
        <v>26</v>
      </c>
      <c r="Q21" s="101">
        <f>30*470000</f>
        <v>14100000</v>
      </c>
    </row>
    <row r="22" spans="1:18" x14ac:dyDescent="0.3">
      <c r="A22" s="132">
        <v>46038</v>
      </c>
      <c r="B22" s="121" t="s">
        <v>38</v>
      </c>
      <c r="C22" s="17"/>
      <c r="H22" s="126">
        <v>73</v>
      </c>
      <c r="N22" s="85">
        <f t="shared" si="4"/>
        <v>73</v>
      </c>
      <c r="P22" s="100" t="s">
        <v>39</v>
      </c>
      <c r="Q22" s="101">
        <f>73*600000</f>
        <v>43800000</v>
      </c>
    </row>
    <row r="23" spans="1:18" x14ac:dyDescent="0.3">
      <c r="A23" s="132">
        <v>46038</v>
      </c>
      <c r="B23" s="17" t="s">
        <v>37</v>
      </c>
      <c r="C23" s="17"/>
      <c r="I23" s="127">
        <v>20</v>
      </c>
      <c r="N23" s="85">
        <f t="shared" si="4"/>
        <v>20</v>
      </c>
      <c r="P23" s="100" t="s">
        <v>26</v>
      </c>
      <c r="Q23" s="101">
        <f>640000*20</f>
        <v>12800000</v>
      </c>
    </row>
    <row r="24" spans="1:18" s="106" customFormat="1" x14ac:dyDescent="0.3">
      <c r="B24" s="131"/>
      <c r="C24" s="30"/>
      <c r="N24" s="106">
        <f>SUM(N21:N23)</f>
        <v>123</v>
      </c>
      <c r="O24" s="105"/>
      <c r="P24" s="104"/>
      <c r="Q24" s="105">
        <f>SUM(Q21:Q23)</f>
        <v>70700000</v>
      </c>
      <c r="R24" s="133"/>
    </row>
    <row r="25" spans="1:18" x14ac:dyDescent="0.3">
      <c r="A25" s="132">
        <v>46039</v>
      </c>
      <c r="B25" s="17" t="s">
        <v>37</v>
      </c>
      <c r="I25" s="127">
        <v>30</v>
      </c>
      <c r="N25" s="85">
        <f>SUM(C25:M25)</f>
        <v>30</v>
      </c>
      <c r="P25" s="100" t="s">
        <v>40</v>
      </c>
      <c r="Q25" s="101">
        <f>640000*30</f>
        <v>19200000</v>
      </c>
    </row>
    <row r="26" spans="1:18" s="106" customFormat="1" x14ac:dyDescent="0.3">
      <c r="N26" s="106">
        <f>SUM(N25)</f>
        <v>30</v>
      </c>
      <c r="O26" s="106">
        <v>40.5</v>
      </c>
      <c r="P26" s="104"/>
      <c r="Q26" s="105">
        <f>SUM(Q25)</f>
        <v>19200000</v>
      </c>
    </row>
    <row r="27" spans="1:18" x14ac:dyDescent="0.3">
      <c r="A27" s="132">
        <v>46041</v>
      </c>
      <c r="B27" s="17" t="s">
        <v>41</v>
      </c>
      <c r="H27" s="126">
        <v>112</v>
      </c>
      <c r="N27" s="85">
        <f t="shared" ref="N27:N28" si="5">SUM(C27:M27)</f>
        <v>112</v>
      </c>
      <c r="P27" s="100" t="s">
        <v>26</v>
      </c>
      <c r="Q27" s="101">
        <f>112*600000</f>
        <v>67200000</v>
      </c>
    </row>
    <row r="28" spans="1:18" x14ac:dyDescent="0.3">
      <c r="A28" s="132">
        <v>46041</v>
      </c>
      <c r="B28" s="17" t="s">
        <v>37</v>
      </c>
      <c r="I28" s="127">
        <v>30</v>
      </c>
      <c r="N28" s="85">
        <f t="shared" si="5"/>
        <v>30</v>
      </c>
      <c r="P28" s="100" t="s">
        <v>26</v>
      </c>
      <c r="Q28" s="101">
        <f>30*640000</f>
        <v>19200000</v>
      </c>
    </row>
    <row r="29" spans="1:18" s="134" customFormat="1" x14ac:dyDescent="0.3">
      <c r="N29" s="134">
        <f>SUM(N27:N28)</f>
        <v>142</v>
      </c>
      <c r="O29" s="134">
        <v>152.5</v>
      </c>
      <c r="P29" s="135"/>
      <c r="Q29" s="136">
        <f>SUM(Q27:Q28)</f>
        <v>86400000</v>
      </c>
    </row>
    <row r="30" spans="1:18" x14ac:dyDescent="0.3">
      <c r="A30" s="132">
        <v>46042</v>
      </c>
      <c r="B30" s="17" t="s">
        <v>41</v>
      </c>
      <c r="H30" s="126">
        <v>48</v>
      </c>
      <c r="N30" s="85">
        <f t="shared" ref="N30:N34" si="6">SUM(C30:M30)</f>
        <v>48</v>
      </c>
      <c r="P30" s="100" t="s">
        <v>26</v>
      </c>
      <c r="Q30" s="101">
        <f>48*600000</f>
        <v>28800000</v>
      </c>
    </row>
    <row r="31" spans="1:18" x14ac:dyDescent="0.3">
      <c r="A31" s="132">
        <v>46042</v>
      </c>
      <c r="B31" s="17" t="s">
        <v>27</v>
      </c>
      <c r="F31" s="124">
        <v>10</v>
      </c>
      <c r="N31" s="85">
        <f t="shared" si="6"/>
        <v>10</v>
      </c>
      <c r="P31" s="100" t="s">
        <v>26</v>
      </c>
      <c r="Q31" s="101">
        <v>5200000</v>
      </c>
    </row>
    <row r="32" spans="1:18" x14ac:dyDescent="0.3">
      <c r="A32" s="132">
        <v>46042</v>
      </c>
      <c r="B32" s="17" t="s">
        <v>30</v>
      </c>
      <c r="G32" s="125">
        <v>25.5</v>
      </c>
      <c r="N32" s="85">
        <f t="shared" si="6"/>
        <v>25.5</v>
      </c>
      <c r="P32" s="100" t="s">
        <v>26</v>
      </c>
      <c r="Q32" s="101">
        <f>570000*25.5</f>
        <v>14535000</v>
      </c>
    </row>
    <row r="33" spans="1:17" x14ac:dyDescent="0.3">
      <c r="A33" s="132">
        <v>46042</v>
      </c>
      <c r="B33" s="74" t="s">
        <v>42</v>
      </c>
      <c r="F33" s="124">
        <v>7</v>
      </c>
      <c r="N33" s="85">
        <f t="shared" si="6"/>
        <v>7</v>
      </c>
      <c r="P33" s="100" t="s">
        <v>26</v>
      </c>
      <c r="Q33" s="101">
        <f>540000*7</f>
        <v>3780000</v>
      </c>
    </row>
    <row r="34" spans="1:17" x14ac:dyDescent="0.3">
      <c r="A34" s="132">
        <v>46042</v>
      </c>
      <c r="B34" s="17" t="s">
        <v>43</v>
      </c>
      <c r="G34" s="125">
        <v>20</v>
      </c>
      <c r="N34" s="85">
        <f t="shared" si="6"/>
        <v>20</v>
      </c>
      <c r="P34" s="100" t="s">
        <v>26</v>
      </c>
      <c r="Q34" s="101">
        <v>11200000</v>
      </c>
    </row>
    <row r="35" spans="1:17" s="106" customFormat="1" x14ac:dyDescent="0.3">
      <c r="A35" s="137"/>
      <c r="N35" s="106">
        <f>SUM(N30:N34)</f>
        <v>110.5</v>
      </c>
      <c r="O35" s="106">
        <v>121</v>
      </c>
      <c r="P35" s="104"/>
      <c r="Q35" s="105">
        <f>SUM(Q30:Q34)</f>
        <v>63515000</v>
      </c>
    </row>
    <row r="36" spans="1:17" x14ac:dyDescent="0.3">
      <c r="A36" s="132">
        <v>46043</v>
      </c>
      <c r="B36" s="17" t="s">
        <v>44</v>
      </c>
      <c r="F36" s="124">
        <v>25</v>
      </c>
      <c r="N36" s="85">
        <f t="shared" ref="N36:N38" si="7">SUM(C36:M36)</f>
        <v>25</v>
      </c>
      <c r="P36" s="100" t="s">
        <v>26</v>
      </c>
      <c r="Q36" s="101">
        <f>25*540000</f>
        <v>13500000</v>
      </c>
    </row>
    <row r="37" spans="1:17" x14ac:dyDescent="0.3">
      <c r="A37" s="132">
        <v>46043</v>
      </c>
      <c r="B37" s="17" t="s">
        <v>37</v>
      </c>
      <c r="I37" s="127">
        <v>24</v>
      </c>
      <c r="N37" s="85">
        <f t="shared" si="7"/>
        <v>24</v>
      </c>
      <c r="P37" s="100" t="s">
        <v>26</v>
      </c>
      <c r="Q37" s="101">
        <f>24*640000</f>
        <v>15360000</v>
      </c>
    </row>
    <row r="38" spans="1:17" x14ac:dyDescent="0.3">
      <c r="A38" s="132">
        <v>46043</v>
      </c>
      <c r="B38" s="17" t="s">
        <v>41</v>
      </c>
      <c r="H38" s="126">
        <v>20</v>
      </c>
      <c r="N38" s="85">
        <f t="shared" si="7"/>
        <v>20</v>
      </c>
      <c r="P38" s="100" t="s">
        <v>26</v>
      </c>
      <c r="Q38" s="101">
        <f>20*600000</f>
        <v>12000000</v>
      </c>
    </row>
    <row r="39" spans="1:17" s="106" customFormat="1" x14ac:dyDescent="0.3">
      <c r="B39" s="67"/>
      <c r="N39" s="106">
        <f>SUM(N36:N38)</f>
        <v>69</v>
      </c>
      <c r="O39" s="106">
        <v>96.5</v>
      </c>
      <c r="P39" s="104"/>
      <c r="Q39" s="105">
        <f>SUM(Q36:Q38)</f>
        <v>40860000</v>
      </c>
    </row>
    <row r="40" spans="1:17" x14ac:dyDescent="0.3">
      <c r="A40" s="132">
        <v>46044</v>
      </c>
      <c r="B40" s="17" t="s">
        <v>45</v>
      </c>
      <c r="F40" s="124">
        <v>16</v>
      </c>
      <c r="N40" s="85">
        <f>SUM(C40:M40)</f>
        <v>16</v>
      </c>
      <c r="P40" s="100" t="s">
        <v>26</v>
      </c>
      <c r="Q40" s="101">
        <f>16*540000</f>
        <v>8640000</v>
      </c>
    </row>
    <row r="41" spans="1:17" s="106" customFormat="1" x14ac:dyDescent="0.3">
      <c r="B41" s="67"/>
      <c r="N41" s="106">
        <f>SUM(N40)</f>
        <v>16</v>
      </c>
      <c r="P41" s="104"/>
      <c r="Q41" s="105">
        <f>SUM(Q40)</f>
        <v>8640000</v>
      </c>
    </row>
    <row r="42" spans="1:17" x14ac:dyDescent="0.3">
      <c r="A42" s="132">
        <v>46048</v>
      </c>
      <c r="B42" s="17" t="s">
        <v>37</v>
      </c>
      <c r="C42" s="121"/>
      <c r="I42" s="127">
        <v>28</v>
      </c>
      <c r="N42" s="85">
        <f t="shared" ref="N42:N43" si="8">SUM(C42:M42)</f>
        <v>28</v>
      </c>
      <c r="P42" s="100" t="s">
        <v>26</v>
      </c>
      <c r="Q42" s="101">
        <f>28*640000</f>
        <v>17920000</v>
      </c>
    </row>
    <row r="43" spans="1:17" x14ac:dyDescent="0.3">
      <c r="A43" s="132">
        <v>46048</v>
      </c>
      <c r="B43" s="17" t="s">
        <v>27</v>
      </c>
      <c r="F43" s="124">
        <v>30</v>
      </c>
      <c r="N43" s="85">
        <f t="shared" si="8"/>
        <v>30</v>
      </c>
      <c r="P43" s="100" t="s">
        <v>26</v>
      </c>
      <c r="Q43" s="101">
        <f>30*520000</f>
        <v>15600000</v>
      </c>
    </row>
    <row r="44" spans="1:17" s="106" customFormat="1" x14ac:dyDescent="0.3">
      <c r="B44" s="30"/>
      <c r="N44" s="106">
        <f>SUM(N42:N43)</f>
        <v>58</v>
      </c>
      <c r="O44" s="106">
        <v>75.5</v>
      </c>
      <c r="P44" s="104" t="s">
        <v>46</v>
      </c>
      <c r="Q44" s="105">
        <f>SUM(Q42:Q43)</f>
        <v>33520000</v>
      </c>
    </row>
    <row r="45" spans="1:17" x14ac:dyDescent="0.3">
      <c r="A45" s="132">
        <v>46049</v>
      </c>
      <c r="B45" s="74" t="s">
        <v>48</v>
      </c>
      <c r="H45" s="126">
        <v>41</v>
      </c>
      <c r="N45" s="85">
        <f t="shared" ref="N45:N47" si="9">SUM(C45:M45)</f>
        <v>41</v>
      </c>
      <c r="P45" s="100" t="s">
        <v>26</v>
      </c>
      <c r="Q45" s="101">
        <f>600000*41</f>
        <v>24600000</v>
      </c>
    </row>
    <row r="46" spans="1:17" ht="15.6" customHeight="1" x14ac:dyDescent="0.3">
      <c r="A46" s="132">
        <v>46049</v>
      </c>
      <c r="B46" s="17" t="s">
        <v>37</v>
      </c>
      <c r="H46" s="126">
        <v>120</v>
      </c>
      <c r="N46" s="85">
        <f t="shared" si="9"/>
        <v>120</v>
      </c>
      <c r="P46" s="100" t="s">
        <v>26</v>
      </c>
      <c r="Q46" s="101">
        <f>120*600000</f>
        <v>72000000</v>
      </c>
    </row>
    <row r="47" spans="1:17" x14ac:dyDescent="0.3">
      <c r="A47" s="132">
        <v>46049</v>
      </c>
      <c r="B47" s="17" t="s">
        <v>47</v>
      </c>
      <c r="F47" s="124">
        <v>20</v>
      </c>
      <c r="N47" s="85">
        <f t="shared" si="9"/>
        <v>20</v>
      </c>
      <c r="P47" s="100" t="s">
        <v>26</v>
      </c>
      <c r="Q47" s="101">
        <f>20*520000</f>
        <v>10400000</v>
      </c>
    </row>
    <row r="48" spans="1:17" s="134" customFormat="1" x14ac:dyDescent="0.3">
      <c r="N48" s="134">
        <f>SUM(N45:N47)</f>
        <v>181</v>
      </c>
      <c r="O48" s="134">
        <v>181</v>
      </c>
      <c r="P48" s="104" t="s">
        <v>46</v>
      </c>
      <c r="Q48" s="136">
        <f>SUM(Q45:Q47)</f>
        <v>107000000</v>
      </c>
    </row>
    <row r="49" spans="1:19" x14ac:dyDescent="0.3">
      <c r="A49" s="132">
        <v>46050</v>
      </c>
      <c r="B49" s="17" t="s">
        <v>41</v>
      </c>
      <c r="H49" s="126">
        <v>18</v>
      </c>
      <c r="N49" s="85">
        <f>SUM(C49:M49)</f>
        <v>18</v>
      </c>
      <c r="P49" s="100" t="s">
        <v>26</v>
      </c>
      <c r="Q49" s="101">
        <f>18*580000</f>
        <v>10440000</v>
      </c>
    </row>
    <row r="50" spans="1:19" s="106" customFormat="1" x14ac:dyDescent="0.3">
      <c r="N50" s="106">
        <f>SUM(N49)</f>
        <v>18</v>
      </c>
      <c r="O50" s="106">
        <v>17.5</v>
      </c>
      <c r="P50" s="104"/>
      <c r="Q50" s="105">
        <f>SUM(Q49:Q49)</f>
        <v>10440000</v>
      </c>
    </row>
    <row r="51" spans="1:19" x14ac:dyDescent="0.3">
      <c r="A51" s="132">
        <v>46053</v>
      </c>
      <c r="B51" s="17" t="s">
        <v>37</v>
      </c>
      <c r="H51" s="126">
        <v>90</v>
      </c>
      <c r="I51" s="127">
        <v>24</v>
      </c>
      <c r="N51" s="85">
        <f t="shared" ref="N51:N56" si="10">SUM(C51:M51)</f>
        <v>114</v>
      </c>
      <c r="P51" s="100" t="s">
        <v>26</v>
      </c>
      <c r="Q51" s="101">
        <f>90*600000+104*640000</f>
        <v>120560000</v>
      </c>
    </row>
    <row r="52" spans="1:19" x14ac:dyDescent="0.3">
      <c r="A52" s="132">
        <v>46053</v>
      </c>
      <c r="B52" s="17" t="s">
        <v>45</v>
      </c>
      <c r="F52" s="124">
        <v>25</v>
      </c>
      <c r="N52" s="85">
        <f t="shared" si="10"/>
        <v>25</v>
      </c>
      <c r="P52" s="100" t="s">
        <v>26</v>
      </c>
      <c r="Q52" s="101">
        <f>540000*25</f>
        <v>13500000</v>
      </c>
    </row>
    <row r="53" spans="1:19" x14ac:dyDescent="0.3">
      <c r="A53" s="132">
        <v>46053</v>
      </c>
      <c r="B53" s="17" t="s">
        <v>30</v>
      </c>
      <c r="G53" s="125">
        <v>10</v>
      </c>
      <c r="N53" s="85">
        <f t="shared" si="10"/>
        <v>10</v>
      </c>
      <c r="P53" s="100" t="s">
        <v>26</v>
      </c>
      <c r="Q53" s="101">
        <v>5800000</v>
      </c>
    </row>
    <row r="54" spans="1:19" x14ac:dyDescent="0.3">
      <c r="A54" s="132">
        <v>46053</v>
      </c>
      <c r="B54" s="17" t="s">
        <v>49</v>
      </c>
      <c r="I54" s="127">
        <v>56</v>
      </c>
      <c r="N54" s="85">
        <f t="shared" si="10"/>
        <v>56</v>
      </c>
      <c r="P54" s="100" t="s">
        <v>52</v>
      </c>
      <c r="Q54" s="101">
        <f>56*640000</f>
        <v>35840000</v>
      </c>
    </row>
    <row r="55" spans="1:19" x14ac:dyDescent="0.3">
      <c r="A55" s="132">
        <v>46053</v>
      </c>
      <c r="B55" s="17" t="s">
        <v>50</v>
      </c>
      <c r="I55" s="127">
        <v>14</v>
      </c>
      <c r="N55" s="85">
        <f t="shared" si="10"/>
        <v>14</v>
      </c>
      <c r="P55" s="100" t="s">
        <v>26</v>
      </c>
      <c r="Q55" s="101">
        <f>14*640000</f>
        <v>8960000</v>
      </c>
    </row>
    <row r="56" spans="1:19" x14ac:dyDescent="0.3">
      <c r="A56" s="132">
        <v>46053</v>
      </c>
      <c r="B56" s="74" t="s">
        <v>51</v>
      </c>
      <c r="E56" s="123">
        <v>13</v>
      </c>
      <c r="N56" s="85">
        <f t="shared" si="10"/>
        <v>13</v>
      </c>
      <c r="P56" s="100" t="s">
        <v>26</v>
      </c>
      <c r="Q56" s="101">
        <f>13*600000</f>
        <v>7800000</v>
      </c>
    </row>
    <row r="57" spans="1:19" s="138" customFormat="1" x14ac:dyDescent="0.3">
      <c r="N57" s="138">
        <f>SUM(N51:N56)</f>
        <v>232</v>
      </c>
      <c r="O57" s="138">
        <v>243.5</v>
      </c>
      <c r="P57" s="139"/>
      <c r="Q57" s="140">
        <f>SUM(Q51:Q56)</f>
        <v>192460000</v>
      </c>
    </row>
    <row r="58" spans="1:19" x14ac:dyDescent="0.3">
      <c r="A58" s="141"/>
      <c r="B58" s="142" t="s">
        <v>68</v>
      </c>
      <c r="C58" s="141"/>
      <c r="D58" s="141">
        <f>SUM(D2:D56)</f>
        <v>30</v>
      </c>
      <c r="E58" s="141">
        <f>SUM(E2:E56)</f>
        <v>13</v>
      </c>
      <c r="F58" s="141">
        <f>SUM(F2:F56)</f>
        <v>237</v>
      </c>
      <c r="G58" s="141">
        <f>SUM(G2:G56)</f>
        <v>1323</v>
      </c>
      <c r="H58" s="141">
        <f t="shared" ref="H58:I58" si="11">SUM(H2:H56)</f>
        <v>645</v>
      </c>
      <c r="I58" s="141">
        <f t="shared" si="11"/>
        <v>226</v>
      </c>
      <c r="J58" s="141"/>
      <c r="K58" s="141"/>
      <c r="L58" s="141"/>
      <c r="M58" s="141"/>
      <c r="N58" s="141"/>
      <c r="O58" s="141"/>
      <c r="P58" s="143"/>
      <c r="Q58" s="144"/>
      <c r="R58" s="141"/>
      <c r="S58" s="141"/>
    </row>
    <row r="62" spans="1:19" x14ac:dyDescent="0.3">
      <c r="B62" s="49"/>
    </row>
    <row r="63" spans="1:19" x14ac:dyDescent="0.3">
      <c r="A63" s="132"/>
    </row>
    <row r="64" spans="1:19" s="106" customFormat="1" x14ac:dyDescent="0.3">
      <c r="P64" s="104"/>
      <c r="Q64" s="105"/>
    </row>
    <row r="65" spans="1:17" x14ac:dyDescent="0.3">
      <c r="A65" s="132"/>
    </row>
    <row r="66" spans="1:17" x14ac:dyDescent="0.3">
      <c r="B66" s="121"/>
    </row>
    <row r="67" spans="1:17" x14ac:dyDescent="0.3">
      <c r="B67" s="121"/>
    </row>
    <row r="70" spans="1:17" x14ac:dyDescent="0.3">
      <c r="A70" s="132"/>
      <c r="B70" s="121"/>
    </row>
    <row r="74" spans="1:17" x14ac:dyDescent="0.3">
      <c r="B74" s="49"/>
    </row>
    <row r="75" spans="1:17" s="106" customFormat="1" x14ac:dyDescent="0.3">
      <c r="P75" s="104"/>
      <c r="Q75" s="105"/>
    </row>
    <row r="76" spans="1:17" x14ac:dyDescent="0.3">
      <c r="A76" s="132"/>
      <c r="B76" s="121"/>
    </row>
    <row r="78" spans="1:17" s="134" customFormat="1" x14ac:dyDescent="0.3">
      <c r="P78" s="135"/>
      <c r="Q78" s="136"/>
    </row>
    <row r="79" spans="1:17" x14ac:dyDescent="0.3">
      <c r="A79" s="132"/>
      <c r="B79" s="121"/>
    </row>
    <row r="81" spans="1:2" x14ac:dyDescent="0.3">
      <c r="B81" s="49"/>
    </row>
    <row r="84" spans="1:2" x14ac:dyDescent="0.3">
      <c r="A84" s="132"/>
      <c r="B84" s="121"/>
    </row>
    <row r="87" spans="1:2" x14ac:dyDescent="0.3">
      <c r="A87" s="132"/>
    </row>
    <row r="90" spans="1:2" x14ac:dyDescent="0.3">
      <c r="B90" s="121"/>
    </row>
    <row r="91" spans="1:2" x14ac:dyDescent="0.3">
      <c r="B91" s="121"/>
    </row>
    <row r="95" spans="1:2" x14ac:dyDescent="0.3">
      <c r="A95" s="132"/>
    </row>
    <row r="96" spans="1:2" x14ac:dyDescent="0.3">
      <c r="A96" s="132"/>
    </row>
    <row r="97" spans="1:17" s="106" customFormat="1" x14ac:dyDescent="0.3">
      <c r="P97" s="104"/>
      <c r="Q97" s="105"/>
    </row>
    <row r="98" spans="1:17" x14ac:dyDescent="0.3">
      <c r="A98" s="132"/>
      <c r="B98" s="121"/>
    </row>
    <row r="99" spans="1:17" x14ac:dyDescent="0.3">
      <c r="B99" s="49"/>
    </row>
    <row r="101" spans="1:17" x14ac:dyDescent="0.3">
      <c r="A101" s="132"/>
    </row>
    <row r="104" spans="1:17" x14ac:dyDescent="0.3">
      <c r="B104" s="121"/>
    </row>
    <row r="105" spans="1:17" x14ac:dyDescent="0.3">
      <c r="B105" s="121"/>
    </row>
    <row r="106" spans="1:17" x14ac:dyDescent="0.3">
      <c r="B106" s="147"/>
    </row>
    <row r="108" spans="1:17" s="134" customFormat="1" x14ac:dyDescent="0.3">
      <c r="P108" s="135"/>
      <c r="Q108" s="136"/>
    </row>
    <row r="109" spans="1:17" x14ac:dyDescent="0.3">
      <c r="A109" s="132"/>
    </row>
    <row r="113" spans="1:17" x14ac:dyDescent="0.3">
      <c r="B113" s="49"/>
    </row>
    <row r="116" spans="1:17" x14ac:dyDescent="0.3">
      <c r="A116" s="132"/>
      <c r="B116" s="121"/>
    </row>
    <row r="119" spans="1:17" x14ac:dyDescent="0.3">
      <c r="B119" s="121"/>
    </row>
    <row r="120" spans="1:17" x14ac:dyDescent="0.3">
      <c r="B120" s="147"/>
    </row>
    <row r="121" spans="1:17" s="134" customFormat="1" x14ac:dyDescent="0.3">
      <c r="P121" s="135"/>
      <c r="Q121" s="136"/>
    </row>
    <row r="122" spans="1:17" x14ac:dyDescent="0.3">
      <c r="A122" s="132"/>
      <c r="B122" s="121"/>
    </row>
    <row r="126" spans="1:17" x14ac:dyDescent="0.3">
      <c r="B126" s="49"/>
    </row>
    <row r="127" spans="1:17" x14ac:dyDescent="0.3">
      <c r="A127" s="132"/>
    </row>
    <row r="130" spans="1:17" x14ac:dyDescent="0.3">
      <c r="B130" s="121"/>
      <c r="P130" s="148"/>
    </row>
    <row r="134" spans="1:17" s="106" customFormat="1" x14ac:dyDescent="0.3">
      <c r="P134" s="104"/>
      <c r="Q134" s="105"/>
    </row>
    <row r="135" spans="1:17" x14ac:dyDescent="0.3">
      <c r="A135" s="132"/>
    </row>
    <row r="137" spans="1:17" x14ac:dyDescent="0.3">
      <c r="A137" s="132"/>
      <c r="B137" s="121"/>
    </row>
    <row r="138" spans="1:17" x14ac:dyDescent="0.3">
      <c r="A138" s="132"/>
    </row>
    <row r="141" spans="1:17" x14ac:dyDescent="0.3">
      <c r="A141" s="132"/>
      <c r="B141" s="49"/>
    </row>
    <row r="143" spans="1:17" x14ac:dyDescent="0.3">
      <c r="A143" s="132"/>
      <c r="B143" s="121"/>
    </row>
    <row r="148" spans="1:17" x14ac:dyDescent="0.3">
      <c r="B148" s="49"/>
    </row>
    <row r="149" spans="1:17" s="106" customFormat="1" x14ac:dyDescent="0.3">
      <c r="P149" s="104"/>
      <c r="Q149" s="105"/>
    </row>
    <row r="150" spans="1:17" x14ac:dyDescent="0.3">
      <c r="A150" s="132"/>
      <c r="B150" s="121"/>
    </row>
    <row r="154" spans="1:17" x14ac:dyDescent="0.3">
      <c r="B154" s="121"/>
    </row>
    <row r="160" spans="1:17" x14ac:dyDescent="0.3">
      <c r="A160" s="132"/>
    </row>
    <row r="161" spans="1:19" x14ac:dyDescent="0.3">
      <c r="A161" s="132"/>
      <c r="B161" s="49"/>
    </row>
    <row r="162" spans="1:19" x14ac:dyDescent="0.3">
      <c r="B162" s="49"/>
    </row>
    <row r="165" spans="1:19" s="106" customFormat="1" x14ac:dyDescent="0.3">
      <c r="P165" s="104"/>
      <c r="Q165" s="105"/>
    </row>
    <row r="166" spans="1:19" x14ac:dyDescent="0.3">
      <c r="A166" s="132"/>
    </row>
    <row r="167" spans="1:19" x14ac:dyDescent="0.3">
      <c r="B167" s="121"/>
    </row>
    <row r="171" spans="1:19" x14ac:dyDescent="0.3">
      <c r="A171" s="132"/>
      <c r="B171" s="121"/>
    </row>
    <row r="174" spans="1:19" x14ac:dyDescent="0.3">
      <c r="B174" s="49"/>
    </row>
    <row r="175" spans="1:19" x14ac:dyDescent="0.3">
      <c r="R175" s="149">
        <v>1800000</v>
      </c>
      <c r="S175" s="90" t="s">
        <v>20</v>
      </c>
    </row>
    <row r="179" spans="1:17" s="106" customFormat="1" ht="18" customHeight="1" x14ac:dyDescent="0.3">
      <c r="P179" s="104"/>
      <c r="Q179" s="105"/>
    </row>
    <row r="180" spans="1:17" x14ac:dyDescent="0.3">
      <c r="A180" s="132"/>
    </row>
    <row r="182" spans="1:17" x14ac:dyDescent="0.3">
      <c r="B182" s="121"/>
    </row>
    <row r="185" spans="1:17" x14ac:dyDescent="0.3">
      <c r="A185" s="132"/>
    </row>
    <row r="187" spans="1:17" x14ac:dyDescent="0.3">
      <c r="B187" s="121"/>
    </row>
    <row r="188" spans="1:17" x14ac:dyDescent="0.3">
      <c r="B188" s="49"/>
    </row>
    <row r="191" spans="1:17" s="106" customFormat="1" x14ac:dyDescent="0.3">
      <c r="P191" s="104"/>
      <c r="Q191" s="105"/>
    </row>
    <row r="192" spans="1:17" x14ac:dyDescent="0.3">
      <c r="A192" s="132"/>
    </row>
    <row r="195" spans="1:17" x14ac:dyDescent="0.3">
      <c r="B195" s="49"/>
    </row>
    <row r="196" spans="1:17" x14ac:dyDescent="0.3">
      <c r="B196" s="49"/>
    </row>
    <row r="199" spans="1:17" x14ac:dyDescent="0.3">
      <c r="A199" s="132"/>
      <c r="B199" s="121"/>
    </row>
    <row r="200" spans="1:17" s="134" customFormat="1" x14ac:dyDescent="0.3">
      <c r="P200" s="135"/>
      <c r="Q200" s="136"/>
    </row>
    <row r="201" spans="1:17" x14ac:dyDescent="0.3">
      <c r="A201" s="132"/>
    </row>
    <row r="202" spans="1:17" x14ac:dyDescent="0.3">
      <c r="A202" s="132"/>
      <c r="B202" s="49"/>
    </row>
    <row r="203" spans="1:17" x14ac:dyDescent="0.3">
      <c r="A203" s="132"/>
    </row>
    <row r="204" spans="1:17" x14ac:dyDescent="0.3">
      <c r="A204" s="132"/>
      <c r="B204" s="121"/>
    </row>
    <row r="205" spans="1:17" x14ac:dyDescent="0.3">
      <c r="A205" s="132"/>
    </row>
    <row r="206" spans="1:17" x14ac:dyDescent="0.3">
      <c r="A206" s="132"/>
    </row>
    <row r="207" spans="1:17" x14ac:dyDescent="0.3">
      <c r="A207" s="132"/>
    </row>
    <row r="208" spans="1:17" x14ac:dyDescent="0.3">
      <c r="A208" s="132"/>
    </row>
    <row r="209" spans="1:17" x14ac:dyDescent="0.3">
      <c r="A209" s="132"/>
    </row>
    <row r="210" spans="1:17" x14ac:dyDescent="0.3">
      <c r="A210" s="132"/>
    </row>
    <row r="211" spans="1:17" x14ac:dyDescent="0.3">
      <c r="A211" s="132"/>
    </row>
    <row r="212" spans="1:17" s="106" customFormat="1" x14ac:dyDescent="0.3">
      <c r="P212" s="104"/>
      <c r="Q212" s="105"/>
    </row>
    <row r="213" spans="1:17" x14ac:dyDescent="0.3">
      <c r="A213" s="132"/>
    </row>
    <row r="214" spans="1:17" x14ac:dyDescent="0.3">
      <c r="A214" s="132"/>
    </row>
    <row r="215" spans="1:17" x14ac:dyDescent="0.3">
      <c r="A215" s="132"/>
      <c r="B215" s="49"/>
    </row>
    <row r="216" spans="1:17" x14ac:dyDescent="0.3">
      <c r="A216" s="132"/>
    </row>
    <row r="217" spans="1:17" x14ac:dyDescent="0.3">
      <c r="A217" s="132"/>
    </row>
    <row r="218" spans="1:17" x14ac:dyDescent="0.3">
      <c r="A218" s="132"/>
    </row>
    <row r="219" spans="1:17" x14ac:dyDescent="0.3">
      <c r="A219" s="132"/>
    </row>
    <row r="220" spans="1:17" x14ac:dyDescent="0.3">
      <c r="A220" s="132"/>
    </row>
    <row r="221" spans="1:17" x14ac:dyDescent="0.3">
      <c r="A221" s="132"/>
    </row>
    <row r="222" spans="1:17" x14ac:dyDescent="0.3">
      <c r="A222" s="132"/>
    </row>
    <row r="223" spans="1:17" x14ac:dyDescent="0.3">
      <c r="A223" s="132"/>
    </row>
    <row r="224" spans="1:17" s="106" customFormat="1" x14ac:dyDescent="0.3">
      <c r="P224" s="104"/>
      <c r="Q224" s="105"/>
    </row>
    <row r="225" spans="1:17" x14ac:dyDescent="0.3">
      <c r="A225" s="132"/>
    </row>
    <row r="226" spans="1:17" x14ac:dyDescent="0.3">
      <c r="A226" s="132"/>
    </row>
    <row r="227" spans="1:17" x14ac:dyDescent="0.3">
      <c r="A227" s="132"/>
    </row>
    <row r="228" spans="1:17" x14ac:dyDescent="0.3">
      <c r="A228" s="132"/>
    </row>
    <row r="229" spans="1:17" x14ac:dyDescent="0.3">
      <c r="A229" s="132"/>
      <c r="B229" s="121"/>
    </row>
    <row r="230" spans="1:17" x14ac:dyDescent="0.3">
      <c r="A230" s="132"/>
    </row>
    <row r="231" spans="1:17" x14ac:dyDescent="0.3">
      <c r="A231" s="132"/>
    </row>
    <row r="232" spans="1:17" x14ac:dyDescent="0.3">
      <c r="A232" s="132"/>
    </row>
    <row r="233" spans="1:17" x14ac:dyDescent="0.3">
      <c r="A233" s="132"/>
    </row>
    <row r="234" spans="1:17" x14ac:dyDescent="0.3">
      <c r="A234" s="132"/>
    </row>
    <row r="235" spans="1:17" x14ac:dyDescent="0.3">
      <c r="A235" s="132"/>
    </row>
    <row r="236" spans="1:17" s="106" customFormat="1" x14ac:dyDescent="0.3">
      <c r="P236" s="104"/>
      <c r="Q236" s="105"/>
    </row>
    <row r="237" spans="1:17" x14ac:dyDescent="0.3">
      <c r="A237" s="132"/>
    </row>
    <row r="238" spans="1:17" x14ac:dyDescent="0.3">
      <c r="A238" s="132"/>
    </row>
    <row r="239" spans="1:17" x14ac:dyDescent="0.3">
      <c r="A239" s="132"/>
    </row>
    <row r="240" spans="1:17" x14ac:dyDescent="0.3">
      <c r="A240" s="132"/>
    </row>
    <row r="241" spans="1:17" x14ac:dyDescent="0.3">
      <c r="A241" s="132"/>
    </row>
    <row r="242" spans="1:17" x14ac:dyDescent="0.3">
      <c r="A242" s="132"/>
    </row>
    <row r="243" spans="1:17" s="106" customFormat="1" x14ac:dyDescent="0.3">
      <c r="B243" s="131"/>
      <c r="P243" s="104"/>
      <c r="Q243" s="105"/>
    </row>
    <row r="244" spans="1:17" x14ac:dyDescent="0.3">
      <c r="A244" s="132"/>
    </row>
    <row r="245" spans="1:17" x14ac:dyDescent="0.3">
      <c r="A245" s="132"/>
      <c r="B245" s="121"/>
    </row>
    <row r="246" spans="1:17" x14ac:dyDescent="0.3">
      <c r="A246" s="132"/>
    </row>
    <row r="247" spans="1:17" x14ac:dyDescent="0.3">
      <c r="A247" s="132"/>
    </row>
    <row r="248" spans="1:17" x14ac:dyDescent="0.3">
      <c r="A248" s="132"/>
    </row>
    <row r="249" spans="1:17" x14ac:dyDescent="0.3">
      <c r="A249" s="132"/>
    </row>
    <row r="250" spans="1:17" x14ac:dyDescent="0.3">
      <c r="A250" s="132"/>
    </row>
    <row r="251" spans="1:17" x14ac:dyDescent="0.3">
      <c r="A251" s="132"/>
    </row>
    <row r="252" spans="1:17" x14ac:dyDescent="0.3">
      <c r="A252" s="132"/>
    </row>
    <row r="253" spans="1:17" x14ac:dyDescent="0.3">
      <c r="A253" s="132"/>
      <c r="B253" s="121"/>
    </row>
    <row r="254" spans="1:17" s="106" customFormat="1" x14ac:dyDescent="0.3">
      <c r="P254" s="104"/>
      <c r="Q254" s="105"/>
    </row>
    <row r="255" spans="1:17" x14ac:dyDescent="0.3">
      <c r="A255" s="132"/>
    </row>
    <row r="256" spans="1:17" x14ac:dyDescent="0.3">
      <c r="A256" s="132"/>
    </row>
    <row r="257" spans="1:17" x14ac:dyDescent="0.3">
      <c r="A257" s="132"/>
    </row>
    <row r="258" spans="1:17" x14ac:dyDescent="0.3">
      <c r="A258" s="132"/>
    </row>
    <row r="259" spans="1:17" x14ac:dyDescent="0.3">
      <c r="A259" s="132"/>
    </row>
    <row r="260" spans="1:17" x14ac:dyDescent="0.3">
      <c r="A260" s="132"/>
    </row>
    <row r="261" spans="1:17" x14ac:dyDescent="0.3">
      <c r="A261" s="132"/>
    </row>
    <row r="262" spans="1:17" x14ac:dyDescent="0.3">
      <c r="A262" s="132"/>
    </row>
    <row r="263" spans="1:17" s="106" customFormat="1" x14ac:dyDescent="0.3">
      <c r="P263" s="104"/>
      <c r="Q263" s="105"/>
    </row>
    <row r="264" spans="1:17" x14ac:dyDescent="0.3">
      <c r="A264" s="132"/>
    </row>
    <row r="265" spans="1:17" x14ac:dyDescent="0.3">
      <c r="A265" s="132"/>
    </row>
    <row r="266" spans="1:17" x14ac:dyDescent="0.3">
      <c r="A266" s="132"/>
    </row>
    <row r="267" spans="1:17" x14ac:dyDescent="0.3">
      <c r="A267" s="132"/>
    </row>
    <row r="268" spans="1:17" x14ac:dyDescent="0.3">
      <c r="A268" s="132"/>
    </row>
    <row r="269" spans="1:17" x14ac:dyDescent="0.3">
      <c r="A269" s="132"/>
    </row>
    <row r="270" spans="1:17" x14ac:dyDescent="0.3">
      <c r="A270" s="132"/>
    </row>
    <row r="271" spans="1:17" x14ac:dyDescent="0.3">
      <c r="A271" s="132"/>
    </row>
    <row r="272" spans="1:17" x14ac:dyDescent="0.3">
      <c r="A272" s="132"/>
    </row>
    <row r="273" spans="1:18" x14ac:dyDescent="0.3">
      <c r="A273" s="132"/>
      <c r="B273" s="121"/>
    </row>
    <row r="274" spans="1:18" x14ac:dyDescent="0.3">
      <c r="A274" s="132"/>
    </row>
    <row r="275" spans="1:18" s="106" customFormat="1" x14ac:dyDescent="0.3">
      <c r="P275" s="104"/>
      <c r="Q275" s="105"/>
    </row>
    <row r="276" spans="1:18" x14ac:dyDescent="0.3">
      <c r="A276" s="132"/>
    </row>
    <row r="277" spans="1:18" x14ac:dyDescent="0.3">
      <c r="A277" s="132"/>
    </row>
    <row r="278" spans="1:18" x14ac:dyDescent="0.3">
      <c r="A278" s="132"/>
      <c r="B278" s="49"/>
    </row>
    <row r="279" spans="1:18" x14ac:dyDescent="0.3">
      <c r="A279" s="132"/>
    </row>
    <row r="280" spans="1:18" x14ac:dyDescent="0.3">
      <c r="A280" s="132"/>
    </row>
    <row r="281" spans="1:18" x14ac:dyDescent="0.3">
      <c r="A281" s="132"/>
    </row>
    <row r="282" spans="1:18" x14ac:dyDescent="0.3">
      <c r="A282" s="132"/>
      <c r="R282" s="90" t="s">
        <v>23</v>
      </c>
    </row>
    <row r="283" spans="1:18" x14ac:dyDescent="0.3">
      <c r="A283" s="132"/>
    </row>
    <row r="284" spans="1:18" x14ac:dyDescent="0.3">
      <c r="A284" s="132"/>
    </row>
    <row r="285" spans="1:18" x14ac:dyDescent="0.3">
      <c r="A285" s="132"/>
    </row>
    <row r="286" spans="1:18" s="106" customFormat="1" x14ac:dyDescent="0.3">
      <c r="P286" s="104"/>
      <c r="Q286" s="105"/>
    </row>
    <row r="287" spans="1:18" x14ac:dyDescent="0.3">
      <c r="A287" s="132"/>
    </row>
    <row r="288" spans="1:18" x14ac:dyDescent="0.3">
      <c r="A288" s="132"/>
    </row>
    <row r="289" spans="1:17" x14ac:dyDescent="0.3">
      <c r="A289" s="132"/>
      <c r="B289" s="49"/>
    </row>
    <row r="290" spans="1:17" x14ac:dyDescent="0.3">
      <c r="A290" s="132"/>
    </row>
    <row r="291" spans="1:17" x14ac:dyDescent="0.3">
      <c r="A291" s="132"/>
    </row>
    <row r="292" spans="1:17" x14ac:dyDescent="0.3">
      <c r="A292" s="132"/>
    </row>
    <row r="293" spans="1:17" x14ac:dyDescent="0.3">
      <c r="A293" s="132"/>
    </row>
    <row r="294" spans="1:17" x14ac:dyDescent="0.3">
      <c r="A294" s="132"/>
      <c r="B294" s="121"/>
    </row>
    <row r="295" spans="1:17" x14ac:dyDescent="0.3">
      <c r="A295" s="132"/>
      <c r="B295" s="147"/>
    </row>
    <row r="296" spans="1:17" s="106" customFormat="1" x14ac:dyDescent="0.3">
      <c r="A296" s="132"/>
      <c r="P296" s="104"/>
      <c r="Q296" s="105"/>
    </row>
    <row r="297" spans="1:17" x14ac:dyDescent="0.3">
      <c r="A297" s="132"/>
      <c r="B297" s="49"/>
    </row>
    <row r="298" spans="1:17" x14ac:dyDescent="0.3">
      <c r="A298" s="132"/>
    </row>
    <row r="299" spans="1:17" x14ac:dyDescent="0.3">
      <c r="A299" s="132"/>
      <c r="B299" s="121"/>
    </row>
    <row r="300" spans="1:17" x14ac:dyDescent="0.3">
      <c r="A300" s="132"/>
    </row>
    <row r="301" spans="1:17" x14ac:dyDescent="0.3">
      <c r="A301" s="132"/>
    </row>
    <row r="302" spans="1:17" x14ac:dyDescent="0.3">
      <c r="A302" s="132"/>
    </row>
    <row r="303" spans="1:17" x14ac:dyDescent="0.3">
      <c r="A303" s="132"/>
    </row>
    <row r="304" spans="1:17" x14ac:dyDescent="0.3">
      <c r="A304" s="132"/>
    </row>
    <row r="305" spans="1:17" x14ac:dyDescent="0.3">
      <c r="A305" s="132"/>
    </row>
    <row r="306" spans="1:17" x14ac:dyDescent="0.3">
      <c r="A306" s="132"/>
    </row>
    <row r="307" spans="1:17" x14ac:dyDescent="0.3">
      <c r="A307" s="132"/>
    </row>
    <row r="308" spans="1:17" x14ac:dyDescent="0.3">
      <c r="A308" s="132"/>
    </row>
    <row r="309" spans="1:17" s="106" customFormat="1" x14ac:dyDescent="0.3">
      <c r="P309" s="104"/>
      <c r="Q309" s="105"/>
    </row>
    <row r="310" spans="1:17" x14ac:dyDescent="0.3">
      <c r="A310" s="132"/>
      <c r="B310" s="49"/>
    </row>
    <row r="311" spans="1:17" x14ac:dyDescent="0.3">
      <c r="A311" s="132"/>
      <c r="B311" s="121"/>
    </row>
    <row r="312" spans="1:17" x14ac:dyDescent="0.3">
      <c r="A312" s="132"/>
    </row>
    <row r="313" spans="1:17" x14ac:dyDescent="0.3">
      <c r="A313" s="132"/>
    </row>
    <row r="314" spans="1:17" x14ac:dyDescent="0.3">
      <c r="A314" s="132"/>
      <c r="B314" s="49"/>
    </row>
    <row r="315" spans="1:17" x14ac:dyDescent="0.3">
      <c r="A315" s="132"/>
    </row>
    <row r="316" spans="1:17" x14ac:dyDescent="0.3">
      <c r="A316" s="132"/>
    </row>
    <row r="317" spans="1:17" x14ac:dyDescent="0.3">
      <c r="A317" s="132"/>
    </row>
    <row r="318" spans="1:17" x14ac:dyDescent="0.3">
      <c r="A318" s="132"/>
    </row>
    <row r="319" spans="1:17" x14ac:dyDescent="0.3">
      <c r="A319" s="132"/>
    </row>
    <row r="320" spans="1:17" s="150" customFormat="1" x14ac:dyDescent="0.3">
      <c r="P320" s="151"/>
      <c r="Q320" s="152"/>
    </row>
    <row r="321" spans="1:17" x14ac:dyDescent="0.3">
      <c r="A321" s="132"/>
      <c r="B321" s="49"/>
    </row>
    <row r="322" spans="1:17" x14ac:dyDescent="0.3">
      <c r="A322" s="132"/>
    </row>
    <row r="323" spans="1:17" x14ac:dyDescent="0.3">
      <c r="A323" s="132"/>
    </row>
    <row r="324" spans="1:17" x14ac:dyDescent="0.3">
      <c r="A324" s="132"/>
    </row>
    <row r="325" spans="1:17" x14ac:dyDescent="0.3">
      <c r="A325" s="132"/>
    </row>
    <row r="326" spans="1:17" x14ac:dyDescent="0.3">
      <c r="A326" s="132"/>
    </row>
    <row r="327" spans="1:17" x14ac:dyDescent="0.3">
      <c r="A327" s="132"/>
    </row>
    <row r="328" spans="1:17" x14ac:dyDescent="0.3">
      <c r="A328" s="132"/>
    </row>
    <row r="329" spans="1:17" x14ac:dyDescent="0.3">
      <c r="A329" s="132"/>
    </row>
    <row r="330" spans="1:17" x14ac:dyDescent="0.3">
      <c r="A330" s="132"/>
    </row>
    <row r="331" spans="1:17" x14ac:dyDescent="0.3">
      <c r="A331" s="132"/>
    </row>
    <row r="332" spans="1:17" x14ac:dyDescent="0.3">
      <c r="A332" s="132"/>
    </row>
    <row r="333" spans="1:17" s="106" customFormat="1" x14ac:dyDescent="0.3">
      <c r="P333" s="104"/>
      <c r="Q333" s="105"/>
    </row>
    <row r="334" spans="1:17" x14ac:dyDescent="0.3">
      <c r="A334" s="132"/>
      <c r="B334" s="49"/>
    </row>
    <row r="335" spans="1:17" x14ac:dyDescent="0.3">
      <c r="A335" s="132"/>
    </row>
    <row r="336" spans="1:17" x14ac:dyDescent="0.3">
      <c r="A336" s="132"/>
    </row>
    <row r="337" spans="1:17" x14ac:dyDescent="0.3">
      <c r="A337" s="132"/>
    </row>
    <row r="338" spans="1:17" x14ac:dyDescent="0.3">
      <c r="A338" s="132"/>
    </row>
    <row r="339" spans="1:17" x14ac:dyDescent="0.3">
      <c r="A339" s="132"/>
    </row>
    <row r="340" spans="1:17" x14ac:dyDescent="0.3">
      <c r="A340" s="132"/>
    </row>
    <row r="341" spans="1:17" x14ac:dyDescent="0.3">
      <c r="A341" s="132"/>
    </row>
    <row r="342" spans="1:17" x14ac:dyDescent="0.3">
      <c r="A342" s="132"/>
    </row>
    <row r="343" spans="1:17" x14ac:dyDescent="0.3">
      <c r="A343" s="132"/>
    </row>
    <row r="344" spans="1:17" x14ac:dyDescent="0.3">
      <c r="A344" s="132"/>
      <c r="B344" s="121"/>
    </row>
    <row r="345" spans="1:17" s="106" customFormat="1" x14ac:dyDescent="0.3">
      <c r="P345" s="104"/>
      <c r="Q345" s="105"/>
    </row>
    <row r="346" spans="1:17" x14ac:dyDescent="0.3">
      <c r="A346" s="132"/>
      <c r="B346" s="121"/>
    </row>
    <row r="347" spans="1:17" x14ac:dyDescent="0.3">
      <c r="A347" s="132"/>
    </row>
    <row r="348" spans="1:17" x14ac:dyDescent="0.3">
      <c r="A348" s="132"/>
    </row>
    <row r="349" spans="1:17" x14ac:dyDescent="0.3">
      <c r="A349" s="132"/>
    </row>
    <row r="350" spans="1:17" x14ac:dyDescent="0.3">
      <c r="A350" s="132"/>
    </row>
    <row r="351" spans="1:17" x14ac:dyDescent="0.3">
      <c r="A351" s="132"/>
    </row>
    <row r="352" spans="1:17" x14ac:dyDescent="0.3">
      <c r="A352" s="132"/>
    </row>
    <row r="353" spans="1:17" x14ac:dyDescent="0.3">
      <c r="A353" s="132"/>
    </row>
    <row r="354" spans="1:17" x14ac:dyDescent="0.3">
      <c r="A354" s="132"/>
    </row>
    <row r="355" spans="1:17" s="106" customFormat="1" x14ac:dyDescent="0.3">
      <c r="P355" s="104"/>
      <c r="Q355" s="105"/>
    </row>
    <row r="356" spans="1:17" x14ac:dyDescent="0.3">
      <c r="A356" s="132"/>
    </row>
    <row r="357" spans="1:17" x14ac:dyDescent="0.3">
      <c r="A357" s="132"/>
      <c r="B357" s="121"/>
    </row>
    <row r="358" spans="1:17" x14ac:dyDescent="0.3">
      <c r="A358" s="132"/>
      <c r="B358" s="49"/>
    </row>
    <row r="359" spans="1:17" x14ac:dyDescent="0.3">
      <c r="A359" s="132"/>
    </row>
    <row r="360" spans="1:17" x14ac:dyDescent="0.3">
      <c r="A360" s="132"/>
    </row>
    <row r="361" spans="1:17" x14ac:dyDescent="0.3">
      <c r="A361" s="132"/>
    </row>
    <row r="362" spans="1:17" x14ac:dyDescent="0.3">
      <c r="A362" s="132"/>
    </row>
    <row r="363" spans="1:17" s="106" customFormat="1" x14ac:dyDescent="0.3">
      <c r="P363" s="104"/>
      <c r="Q363" s="105"/>
    </row>
    <row r="364" spans="1:17" x14ac:dyDescent="0.3">
      <c r="A364" s="132"/>
    </row>
    <row r="365" spans="1:17" x14ac:dyDescent="0.3">
      <c r="A365" s="132"/>
    </row>
    <row r="366" spans="1:17" x14ac:dyDescent="0.3">
      <c r="A366" s="132"/>
    </row>
    <row r="367" spans="1:17" x14ac:dyDescent="0.3">
      <c r="A367" s="132"/>
      <c r="B367" s="121"/>
    </row>
    <row r="368" spans="1:17" x14ac:dyDescent="0.3">
      <c r="A368" s="132"/>
    </row>
    <row r="369" spans="1:17" x14ac:dyDescent="0.3">
      <c r="A369" s="132"/>
    </row>
    <row r="370" spans="1:17" x14ac:dyDescent="0.3">
      <c r="A370" s="132"/>
    </row>
    <row r="371" spans="1:17" x14ac:dyDescent="0.3">
      <c r="A371" s="132"/>
    </row>
    <row r="372" spans="1:17" x14ac:dyDescent="0.3">
      <c r="A372" s="132"/>
    </row>
    <row r="373" spans="1:17" x14ac:dyDescent="0.3">
      <c r="A373" s="132"/>
    </row>
    <row r="374" spans="1:17" s="106" customFormat="1" x14ac:dyDescent="0.3">
      <c r="P374" s="104"/>
      <c r="Q374" s="105"/>
    </row>
    <row r="375" spans="1:17" x14ac:dyDescent="0.3">
      <c r="A375" s="132"/>
    </row>
    <row r="376" spans="1:17" x14ac:dyDescent="0.3">
      <c r="A376" s="132"/>
    </row>
    <row r="377" spans="1:17" x14ac:dyDescent="0.3">
      <c r="A377" s="132"/>
    </row>
    <row r="378" spans="1:17" x14ac:dyDescent="0.3">
      <c r="A378" s="132"/>
    </row>
    <row r="379" spans="1:17" x14ac:dyDescent="0.3">
      <c r="A379" s="132"/>
    </row>
    <row r="380" spans="1:17" x14ac:dyDescent="0.3">
      <c r="A380" s="132"/>
      <c r="B380" s="49"/>
    </row>
    <row r="381" spans="1:17" x14ac:dyDescent="0.3">
      <c r="A381" s="132"/>
    </row>
    <row r="382" spans="1:17" x14ac:dyDescent="0.3">
      <c r="A382" s="132"/>
    </row>
    <row r="383" spans="1:17" x14ac:dyDescent="0.3">
      <c r="A383" s="132"/>
    </row>
    <row r="384" spans="1:17" x14ac:dyDescent="0.3">
      <c r="A384" s="132"/>
    </row>
    <row r="385" spans="1:17" s="106" customFormat="1" x14ac:dyDescent="0.3">
      <c r="A385" s="132"/>
      <c r="P385" s="104"/>
      <c r="Q385" s="105"/>
    </row>
    <row r="386" spans="1:17" x14ac:dyDescent="0.3">
      <c r="A386" s="132"/>
    </row>
    <row r="387" spans="1:17" x14ac:dyDescent="0.3">
      <c r="A387" s="132"/>
    </row>
    <row r="388" spans="1:17" x14ac:dyDescent="0.3">
      <c r="A388" s="132"/>
      <c r="B388" s="49"/>
    </row>
    <row r="389" spans="1:17" x14ac:dyDescent="0.3">
      <c r="A389" s="132"/>
    </row>
    <row r="390" spans="1:17" x14ac:dyDescent="0.3">
      <c r="A390" s="132"/>
    </row>
    <row r="391" spans="1:17" ht="14.25" customHeight="1" x14ac:dyDescent="0.3">
      <c r="A391" s="132"/>
      <c r="B391" s="121"/>
    </row>
    <row r="392" spans="1:17" x14ac:dyDescent="0.3">
      <c r="A392" s="132"/>
    </row>
    <row r="393" spans="1:17" x14ac:dyDescent="0.3">
      <c r="A393" s="132"/>
    </row>
    <row r="394" spans="1:17" x14ac:dyDescent="0.3">
      <c r="A394" s="132"/>
    </row>
    <row r="395" spans="1:17" s="106" customFormat="1" x14ac:dyDescent="0.3">
      <c r="P395" s="104"/>
      <c r="Q395" s="105"/>
    </row>
    <row r="396" spans="1:17" x14ac:dyDescent="0.3">
      <c r="A396" s="132"/>
    </row>
    <row r="397" spans="1:17" x14ac:dyDescent="0.3">
      <c r="A397" s="132"/>
      <c r="P397" s="130"/>
    </row>
    <row r="398" spans="1:17" x14ac:dyDescent="0.3">
      <c r="A398" s="132"/>
    </row>
    <row r="399" spans="1:17" x14ac:dyDescent="0.3">
      <c r="A399" s="132"/>
    </row>
    <row r="400" spans="1:17" x14ac:dyDescent="0.3">
      <c r="A400" s="132"/>
      <c r="B400" s="49"/>
    </row>
    <row r="401" spans="1:17" x14ac:dyDescent="0.3">
      <c r="A401" s="132"/>
    </row>
    <row r="402" spans="1:17" x14ac:dyDescent="0.3">
      <c r="A402" s="132"/>
      <c r="B402" s="121"/>
    </row>
    <row r="403" spans="1:17" x14ac:dyDescent="0.3">
      <c r="A403" s="132"/>
    </row>
    <row r="404" spans="1:17" x14ac:dyDescent="0.3">
      <c r="A404" s="132"/>
    </row>
    <row r="405" spans="1:17" s="106" customFormat="1" x14ac:dyDescent="0.3">
      <c r="P405" s="104"/>
      <c r="Q405" s="105"/>
    </row>
    <row r="406" spans="1:17" x14ac:dyDescent="0.3">
      <c r="A406" s="132"/>
    </row>
    <row r="407" spans="1:17" x14ac:dyDescent="0.3">
      <c r="A407" s="132"/>
    </row>
    <row r="408" spans="1:17" x14ac:dyDescent="0.3">
      <c r="A408" s="132"/>
    </row>
    <row r="409" spans="1:17" x14ac:dyDescent="0.3">
      <c r="A409" s="132"/>
    </row>
    <row r="410" spans="1:17" x14ac:dyDescent="0.3">
      <c r="A410" s="132"/>
      <c r="B410" s="121"/>
    </row>
    <row r="411" spans="1:17" x14ac:dyDescent="0.3">
      <c r="A411" s="132"/>
    </row>
    <row r="412" spans="1:17" x14ac:dyDescent="0.3">
      <c r="A412" s="132"/>
    </row>
    <row r="413" spans="1:17" x14ac:dyDescent="0.3">
      <c r="A413" s="132"/>
    </row>
    <row r="414" spans="1:17" s="106" customFormat="1" x14ac:dyDescent="0.3">
      <c r="P414" s="104"/>
      <c r="Q414" s="105"/>
    </row>
    <row r="415" spans="1:17" x14ac:dyDescent="0.3">
      <c r="A415" s="132"/>
    </row>
    <row r="416" spans="1:17" x14ac:dyDescent="0.3">
      <c r="A416" s="132"/>
    </row>
    <row r="417" spans="1:17" x14ac:dyDescent="0.3">
      <c r="A417" s="132"/>
    </row>
    <row r="418" spans="1:17" x14ac:dyDescent="0.3">
      <c r="A418" s="132"/>
    </row>
    <row r="419" spans="1:17" x14ac:dyDescent="0.3">
      <c r="A419" s="132"/>
    </row>
    <row r="420" spans="1:17" s="106" customFormat="1" x14ac:dyDescent="0.3">
      <c r="P420" s="104"/>
      <c r="Q420" s="105"/>
    </row>
    <row r="421" spans="1:17" x14ac:dyDescent="0.3">
      <c r="A421" s="132"/>
    </row>
    <row r="422" spans="1:17" x14ac:dyDescent="0.3">
      <c r="A422" s="132"/>
    </row>
    <row r="423" spans="1:17" x14ac:dyDescent="0.3">
      <c r="A423" s="132"/>
    </row>
    <row r="424" spans="1:17" x14ac:dyDescent="0.3">
      <c r="A424" s="132"/>
    </row>
    <row r="425" spans="1:17" x14ac:dyDescent="0.3">
      <c r="A425" s="132"/>
    </row>
    <row r="426" spans="1:17" x14ac:dyDescent="0.3">
      <c r="A426" s="132"/>
    </row>
    <row r="427" spans="1:17" x14ac:dyDescent="0.3">
      <c r="A427" s="132"/>
      <c r="B427" s="121"/>
    </row>
    <row r="428" spans="1:17" s="106" customFormat="1" x14ac:dyDescent="0.3">
      <c r="P428" s="104"/>
      <c r="Q428" s="105"/>
    </row>
    <row r="429" spans="1:17" x14ac:dyDescent="0.3">
      <c r="A429" s="132"/>
    </row>
    <row r="430" spans="1:17" x14ac:dyDescent="0.3">
      <c r="A430" s="132"/>
    </row>
    <row r="431" spans="1:17" x14ac:dyDescent="0.3">
      <c r="A431" s="132"/>
    </row>
    <row r="432" spans="1:17" x14ac:dyDescent="0.3">
      <c r="A432" s="132"/>
    </row>
    <row r="433" spans="1:17" x14ac:dyDescent="0.3">
      <c r="A433" s="132"/>
    </row>
    <row r="434" spans="1:17" x14ac:dyDescent="0.3">
      <c r="A434" s="132"/>
    </row>
    <row r="435" spans="1:17" x14ac:dyDescent="0.3">
      <c r="A435" s="132"/>
    </row>
    <row r="436" spans="1:17" x14ac:dyDescent="0.3">
      <c r="A436" s="132"/>
    </row>
    <row r="437" spans="1:17" x14ac:dyDescent="0.3">
      <c r="A437" s="132"/>
    </row>
    <row r="438" spans="1:17" x14ac:dyDescent="0.3">
      <c r="A438" s="153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154"/>
    </row>
    <row r="439" spans="1:17" s="106" customFormat="1" x14ac:dyDescent="0.3">
      <c r="P439" s="104"/>
      <c r="Q439" s="105"/>
    </row>
    <row r="440" spans="1:17" x14ac:dyDescent="0.3">
      <c r="A440" s="132"/>
    </row>
    <row r="441" spans="1:17" s="106" customFormat="1" x14ac:dyDescent="0.3">
      <c r="P441" s="104"/>
      <c r="Q441" s="105"/>
    </row>
    <row r="442" spans="1:17" x14ac:dyDescent="0.3">
      <c r="A442" s="132"/>
    </row>
    <row r="443" spans="1:17" x14ac:dyDescent="0.3">
      <c r="A443" s="132"/>
    </row>
    <row r="444" spans="1:17" x14ac:dyDescent="0.3">
      <c r="A444" s="132"/>
    </row>
    <row r="445" spans="1:17" x14ac:dyDescent="0.3">
      <c r="A445" s="132"/>
    </row>
    <row r="446" spans="1:17" x14ac:dyDescent="0.3">
      <c r="A446" s="132"/>
    </row>
    <row r="447" spans="1:17" x14ac:dyDescent="0.3">
      <c r="A447" s="132"/>
    </row>
    <row r="448" spans="1:17" x14ac:dyDescent="0.3">
      <c r="A448" s="132"/>
    </row>
    <row r="449" spans="1:17" x14ac:dyDescent="0.3">
      <c r="A449" s="132"/>
      <c r="B449" s="121"/>
    </row>
    <row r="450" spans="1:17" x14ac:dyDescent="0.3">
      <c r="A450" s="132"/>
    </row>
    <row r="451" spans="1:17" x14ac:dyDescent="0.3">
      <c r="A451" s="132"/>
      <c r="B451" s="121"/>
    </row>
    <row r="452" spans="1:17" s="106" customFormat="1" x14ac:dyDescent="0.3">
      <c r="P452" s="104"/>
      <c r="Q452" s="105"/>
    </row>
    <row r="453" spans="1:17" x14ac:dyDescent="0.3">
      <c r="A453" s="132"/>
    </row>
    <row r="454" spans="1:17" x14ac:dyDescent="0.3">
      <c r="A454" s="132"/>
    </row>
    <row r="455" spans="1:17" x14ac:dyDescent="0.3">
      <c r="A455" s="132"/>
    </row>
    <row r="456" spans="1:17" x14ac:dyDescent="0.3">
      <c r="A456" s="132"/>
    </row>
    <row r="457" spans="1:17" x14ac:dyDescent="0.3">
      <c r="A457" s="132"/>
    </row>
    <row r="458" spans="1:17" x14ac:dyDescent="0.3">
      <c r="A458" s="132"/>
    </row>
    <row r="459" spans="1:17" x14ac:dyDescent="0.3">
      <c r="A459" s="132"/>
    </row>
    <row r="460" spans="1:17" x14ac:dyDescent="0.3">
      <c r="A460" s="132"/>
    </row>
    <row r="461" spans="1:17" x14ac:dyDescent="0.3">
      <c r="A461" s="132"/>
    </row>
    <row r="462" spans="1:17" s="106" customFormat="1" x14ac:dyDescent="0.3">
      <c r="P462" s="104"/>
      <c r="Q462" s="105"/>
    </row>
    <row r="463" spans="1:17" x14ac:dyDescent="0.3">
      <c r="A463" s="132"/>
      <c r="B463" s="49"/>
    </row>
    <row r="464" spans="1:17" x14ac:dyDescent="0.3">
      <c r="A464" s="132"/>
    </row>
    <row r="465" spans="1:17" x14ac:dyDescent="0.3">
      <c r="A465" s="132"/>
      <c r="B465" s="121"/>
    </row>
    <row r="466" spans="1:17" x14ac:dyDescent="0.3">
      <c r="A466" s="132"/>
    </row>
    <row r="467" spans="1:17" x14ac:dyDescent="0.3">
      <c r="A467" s="132"/>
    </row>
    <row r="468" spans="1:17" s="106" customFormat="1" x14ac:dyDescent="0.3">
      <c r="P468" s="104"/>
      <c r="Q468" s="105"/>
    </row>
    <row r="469" spans="1:17" x14ac:dyDescent="0.3">
      <c r="A469" s="132"/>
      <c r="B469" s="121"/>
    </row>
    <row r="470" spans="1:17" x14ac:dyDescent="0.3">
      <c r="A470" s="132"/>
    </row>
    <row r="471" spans="1:17" x14ac:dyDescent="0.3">
      <c r="A471" s="132"/>
    </row>
    <row r="472" spans="1:17" x14ac:dyDescent="0.3">
      <c r="A472" s="132"/>
    </row>
    <row r="473" spans="1:17" x14ac:dyDescent="0.3">
      <c r="A473" s="132"/>
    </row>
    <row r="474" spans="1:17" x14ac:dyDescent="0.3">
      <c r="A474" s="132"/>
    </row>
    <row r="475" spans="1:17" s="106" customFormat="1" x14ac:dyDescent="0.3">
      <c r="P475" s="104"/>
      <c r="Q475" s="105"/>
    </row>
    <row r="476" spans="1:17" x14ac:dyDescent="0.3">
      <c r="A476" s="132"/>
      <c r="B476" s="121"/>
    </row>
    <row r="477" spans="1:17" x14ac:dyDescent="0.3">
      <c r="A477" s="132"/>
      <c r="B477" s="49"/>
    </row>
    <row r="478" spans="1:17" x14ac:dyDescent="0.3">
      <c r="A478" s="132"/>
    </row>
    <row r="479" spans="1:17" x14ac:dyDescent="0.3">
      <c r="A479" s="132"/>
    </row>
    <row r="480" spans="1:17" x14ac:dyDescent="0.3">
      <c r="A480" s="132"/>
    </row>
    <row r="481" spans="1:18" x14ac:dyDescent="0.3">
      <c r="A481" s="132"/>
    </row>
    <row r="482" spans="1:18" x14ac:dyDescent="0.3">
      <c r="A482" s="132"/>
    </row>
    <row r="483" spans="1:18" x14ac:dyDescent="0.3">
      <c r="A483" s="132"/>
    </row>
    <row r="484" spans="1:18" s="106" customFormat="1" x14ac:dyDescent="0.3">
      <c r="P484" s="104"/>
      <c r="Q484" s="105"/>
    </row>
    <row r="485" spans="1:18" x14ac:dyDescent="0.3">
      <c r="A485" s="132"/>
      <c r="B485" s="121"/>
    </row>
    <row r="486" spans="1:18" x14ac:dyDescent="0.3">
      <c r="A486" s="132"/>
      <c r="B486" s="49"/>
    </row>
    <row r="487" spans="1:18" x14ac:dyDescent="0.3">
      <c r="A487" s="132"/>
    </row>
    <row r="488" spans="1:18" x14ac:dyDescent="0.3">
      <c r="A488" s="132"/>
    </row>
    <row r="489" spans="1:18" x14ac:dyDescent="0.3">
      <c r="A489" s="132"/>
    </row>
    <row r="490" spans="1:18" x14ac:dyDescent="0.3">
      <c r="A490" s="132"/>
    </row>
    <row r="491" spans="1:18" x14ac:dyDescent="0.3">
      <c r="A491" s="132"/>
    </row>
    <row r="492" spans="1:18" x14ac:dyDescent="0.3">
      <c r="A492" s="132"/>
      <c r="R492" s="90" t="s">
        <v>24</v>
      </c>
    </row>
    <row r="493" spans="1:18" x14ac:dyDescent="0.3">
      <c r="A493" s="132"/>
      <c r="B493" s="121"/>
    </row>
    <row r="494" spans="1:18" x14ac:dyDescent="0.3">
      <c r="A494" s="132"/>
    </row>
    <row r="495" spans="1:18" x14ac:dyDescent="0.3">
      <c r="A495" s="132"/>
    </row>
    <row r="496" spans="1:18" x14ac:dyDescent="0.3">
      <c r="A496" s="132"/>
    </row>
    <row r="497" spans="1:17" x14ac:dyDescent="0.3">
      <c r="A497" s="132"/>
    </row>
    <row r="498" spans="1:17" s="134" customFormat="1" x14ac:dyDescent="0.3">
      <c r="P498" s="135"/>
      <c r="Q498" s="136"/>
    </row>
    <row r="499" spans="1:17" x14ac:dyDescent="0.3">
      <c r="A499" s="132"/>
    </row>
    <row r="500" spans="1:17" x14ac:dyDescent="0.3">
      <c r="A500" s="132"/>
      <c r="B500" s="121"/>
    </row>
    <row r="501" spans="1:17" x14ac:dyDescent="0.3">
      <c r="A501" s="132"/>
    </row>
    <row r="502" spans="1:17" x14ac:dyDescent="0.3">
      <c r="A502" s="132"/>
    </row>
    <row r="503" spans="1:17" s="106" customFormat="1" x14ac:dyDescent="0.3">
      <c r="B503" s="131"/>
      <c r="P503" s="104"/>
      <c r="Q503" s="105"/>
    </row>
    <row r="504" spans="1:17" x14ac:dyDescent="0.3">
      <c r="A504" s="132"/>
    </row>
    <row r="505" spans="1:17" x14ac:dyDescent="0.3">
      <c r="A505" s="132"/>
      <c r="B505" s="49"/>
    </row>
    <row r="506" spans="1:17" x14ac:dyDescent="0.3">
      <c r="A506" s="132"/>
    </row>
    <row r="507" spans="1:17" x14ac:dyDescent="0.3">
      <c r="A507" s="132"/>
    </row>
    <row r="508" spans="1:17" x14ac:dyDescent="0.3">
      <c r="A508" s="132"/>
    </row>
    <row r="509" spans="1:17" x14ac:dyDescent="0.3">
      <c r="A509" s="132"/>
    </row>
    <row r="510" spans="1:17" x14ac:dyDescent="0.3">
      <c r="A510" s="132"/>
    </row>
    <row r="511" spans="1:17" x14ac:dyDescent="0.3">
      <c r="A511" s="132"/>
    </row>
    <row r="512" spans="1:17" x14ac:dyDescent="0.3">
      <c r="A512" s="132"/>
    </row>
    <row r="513" spans="1:17" x14ac:dyDescent="0.3">
      <c r="A513" s="132"/>
    </row>
    <row r="514" spans="1:17" s="106" customFormat="1" x14ac:dyDescent="0.3">
      <c r="P514" s="104"/>
      <c r="Q514" s="105"/>
    </row>
    <row r="515" spans="1:17" x14ac:dyDescent="0.3">
      <c r="A515" s="132"/>
    </row>
    <row r="516" spans="1:17" x14ac:dyDescent="0.3">
      <c r="A516" s="132"/>
    </row>
    <row r="517" spans="1:17" x14ac:dyDescent="0.3">
      <c r="A517" s="132"/>
    </row>
    <row r="518" spans="1:17" x14ac:dyDescent="0.3">
      <c r="A518" s="132"/>
      <c r="B518" s="121"/>
    </row>
    <row r="519" spans="1:17" x14ac:dyDescent="0.3">
      <c r="A519" s="132"/>
      <c r="B519" s="49"/>
    </row>
    <row r="520" spans="1:17" x14ac:dyDescent="0.3">
      <c r="A520" s="132"/>
    </row>
    <row r="521" spans="1:17" x14ac:dyDescent="0.3">
      <c r="A521" s="132"/>
    </row>
    <row r="522" spans="1:17" x14ac:dyDescent="0.3">
      <c r="A522" s="132"/>
      <c r="B522" s="121"/>
    </row>
    <row r="523" spans="1:17" s="106" customFormat="1" x14ac:dyDescent="0.3">
      <c r="P523" s="104"/>
      <c r="Q523" s="105"/>
    </row>
    <row r="524" spans="1:17" x14ac:dyDescent="0.3">
      <c r="A524" s="132"/>
    </row>
    <row r="525" spans="1:17" x14ac:dyDescent="0.3">
      <c r="A525" s="132"/>
      <c r="B525" s="121"/>
    </row>
    <row r="526" spans="1:17" x14ac:dyDescent="0.3">
      <c r="A526" s="132"/>
    </row>
    <row r="527" spans="1:17" x14ac:dyDescent="0.3">
      <c r="A527" s="132"/>
    </row>
    <row r="528" spans="1:17" x14ac:dyDescent="0.3">
      <c r="A528" s="132"/>
    </row>
    <row r="529" spans="1:17" x14ac:dyDescent="0.3">
      <c r="A529" s="132"/>
    </row>
    <row r="530" spans="1:17" x14ac:dyDescent="0.3">
      <c r="A530" s="132"/>
    </row>
    <row r="531" spans="1:17" x14ac:dyDescent="0.3">
      <c r="A531" s="132"/>
    </row>
    <row r="532" spans="1:17" s="106" customFormat="1" x14ac:dyDescent="0.3">
      <c r="P532" s="104"/>
      <c r="Q532" s="105"/>
    </row>
    <row r="533" spans="1:17" x14ac:dyDescent="0.3">
      <c r="A533" s="132"/>
    </row>
    <row r="534" spans="1:17" x14ac:dyDescent="0.3">
      <c r="A534" s="132"/>
    </row>
    <row r="535" spans="1:17" x14ac:dyDescent="0.3">
      <c r="A535" s="132"/>
    </row>
    <row r="536" spans="1:17" x14ac:dyDescent="0.3">
      <c r="A536" s="132"/>
      <c r="B536" s="121"/>
    </row>
    <row r="537" spans="1:17" x14ac:dyDescent="0.3">
      <c r="A537" s="132"/>
    </row>
    <row r="538" spans="1:17" x14ac:dyDescent="0.3">
      <c r="A538" s="132"/>
    </row>
    <row r="539" spans="1:17" x14ac:dyDescent="0.3">
      <c r="A539" s="132"/>
    </row>
    <row r="540" spans="1:17" x14ac:dyDescent="0.3">
      <c r="A540" s="132"/>
    </row>
    <row r="541" spans="1:17" x14ac:dyDescent="0.3">
      <c r="A541" s="132"/>
    </row>
    <row r="542" spans="1:17" s="106" customFormat="1" x14ac:dyDescent="0.3">
      <c r="P542" s="104"/>
      <c r="Q542" s="105"/>
    </row>
    <row r="543" spans="1:17" x14ac:dyDescent="0.3">
      <c r="A543" s="132"/>
      <c r="B543" s="121"/>
    </row>
    <row r="544" spans="1:17" x14ac:dyDescent="0.3">
      <c r="A544" s="132"/>
    </row>
    <row r="545" spans="1:17" x14ac:dyDescent="0.3">
      <c r="A545" s="132"/>
    </row>
    <row r="546" spans="1:17" x14ac:dyDescent="0.3">
      <c r="A546" s="132"/>
    </row>
    <row r="547" spans="1:17" x14ac:dyDescent="0.3">
      <c r="A547" s="132"/>
      <c r="B547" s="121"/>
    </row>
    <row r="548" spans="1:17" x14ac:dyDescent="0.3">
      <c r="A548" s="132"/>
    </row>
    <row r="549" spans="1:17" x14ac:dyDescent="0.3">
      <c r="A549" s="132"/>
    </row>
    <row r="550" spans="1:17" x14ac:dyDescent="0.3">
      <c r="A550" s="132"/>
    </row>
    <row r="551" spans="1:17" s="106" customFormat="1" x14ac:dyDescent="0.3">
      <c r="P551" s="104"/>
      <c r="Q551" s="105"/>
    </row>
    <row r="552" spans="1:17" x14ac:dyDescent="0.3">
      <c r="A552" s="132"/>
    </row>
    <row r="553" spans="1:17" x14ac:dyDescent="0.3">
      <c r="A553" s="132"/>
    </row>
    <row r="554" spans="1:17" x14ac:dyDescent="0.3">
      <c r="A554" s="132"/>
    </row>
    <row r="555" spans="1:17" x14ac:dyDescent="0.3">
      <c r="A555" s="132"/>
    </row>
    <row r="556" spans="1:17" x14ac:dyDescent="0.3">
      <c r="A556" s="132"/>
    </row>
    <row r="557" spans="1:17" x14ac:dyDescent="0.3">
      <c r="A557" s="132"/>
    </row>
    <row r="558" spans="1:17" x14ac:dyDescent="0.3">
      <c r="A558" s="132"/>
    </row>
    <row r="559" spans="1:17" x14ac:dyDescent="0.3">
      <c r="A559" s="132"/>
    </row>
    <row r="560" spans="1:17" x14ac:dyDescent="0.3">
      <c r="A560" s="132"/>
    </row>
    <row r="561" spans="1:18" x14ac:dyDescent="0.3">
      <c r="A561" s="132"/>
      <c r="B561" s="121"/>
    </row>
    <row r="562" spans="1:18" x14ac:dyDescent="0.3">
      <c r="A562" s="132"/>
    </row>
    <row r="563" spans="1:18" x14ac:dyDescent="0.3">
      <c r="A563" s="132"/>
      <c r="B563" s="121"/>
    </row>
    <row r="564" spans="1:18" x14ac:dyDescent="0.3">
      <c r="A564" s="132"/>
    </row>
    <row r="565" spans="1:18" s="106" customFormat="1" x14ac:dyDescent="0.3">
      <c r="P565" s="104"/>
      <c r="Q565" s="105"/>
    </row>
    <row r="566" spans="1:18" x14ac:dyDescent="0.3">
      <c r="A566" s="132"/>
    </row>
    <row r="567" spans="1:18" x14ac:dyDescent="0.3">
      <c r="A567" s="132"/>
      <c r="B567" s="121"/>
    </row>
    <row r="568" spans="1:18" x14ac:dyDescent="0.3">
      <c r="A568" s="132"/>
    </row>
    <row r="569" spans="1:18" x14ac:dyDescent="0.3">
      <c r="A569" s="132"/>
    </row>
    <row r="570" spans="1:18" x14ac:dyDescent="0.3">
      <c r="A570" s="132"/>
    </row>
    <row r="571" spans="1:18" x14ac:dyDescent="0.3">
      <c r="A571" s="132"/>
      <c r="R571" s="90" t="s">
        <v>25</v>
      </c>
    </row>
    <row r="572" spans="1:18" x14ac:dyDescent="0.3">
      <c r="A572" s="132"/>
    </row>
    <row r="573" spans="1:18" x14ac:dyDescent="0.3">
      <c r="A573" s="132"/>
    </row>
    <row r="574" spans="1:18" s="106" customFormat="1" x14ac:dyDescent="0.3">
      <c r="P574" s="104"/>
      <c r="Q574" s="105"/>
    </row>
    <row r="575" spans="1:18" x14ac:dyDescent="0.3">
      <c r="A575" s="132"/>
    </row>
    <row r="576" spans="1:18" x14ac:dyDescent="0.3">
      <c r="A576" s="132"/>
    </row>
    <row r="577" spans="1:17" x14ac:dyDescent="0.3">
      <c r="A577" s="132"/>
    </row>
    <row r="578" spans="1:17" x14ac:dyDescent="0.3">
      <c r="A578" s="132"/>
    </row>
    <row r="579" spans="1:17" x14ac:dyDescent="0.3">
      <c r="A579" s="132"/>
      <c r="B579" s="121"/>
    </row>
    <row r="580" spans="1:17" x14ac:dyDescent="0.3">
      <c r="A580" s="132"/>
      <c r="B580" s="121"/>
    </row>
    <row r="581" spans="1:17" x14ac:dyDescent="0.3">
      <c r="A581" s="132"/>
    </row>
    <row r="582" spans="1:17" x14ac:dyDescent="0.3">
      <c r="A582" s="132"/>
    </row>
    <row r="583" spans="1:17" s="106" customFormat="1" x14ac:dyDescent="0.3">
      <c r="P583" s="104"/>
      <c r="Q583" s="105"/>
    </row>
    <row r="584" spans="1:17" x14ac:dyDescent="0.3">
      <c r="A584" s="132"/>
    </row>
    <row r="585" spans="1:17" x14ac:dyDescent="0.3">
      <c r="A585" s="132"/>
    </row>
    <row r="586" spans="1:17" x14ac:dyDescent="0.3">
      <c r="A586" s="132"/>
    </row>
    <row r="587" spans="1:17" x14ac:dyDescent="0.3">
      <c r="A587" s="132"/>
      <c r="B587" s="121"/>
    </row>
    <row r="588" spans="1:17" x14ac:dyDescent="0.3">
      <c r="A588" s="132"/>
    </row>
    <row r="589" spans="1:17" x14ac:dyDescent="0.3">
      <c r="A589" s="132"/>
    </row>
    <row r="590" spans="1:17" x14ac:dyDescent="0.3">
      <c r="A590" s="132"/>
    </row>
    <row r="591" spans="1:17" s="106" customFormat="1" x14ac:dyDescent="0.3">
      <c r="P591" s="104"/>
      <c r="Q591" s="105"/>
    </row>
    <row r="592" spans="1:17" x14ac:dyDescent="0.3">
      <c r="A592" s="132"/>
    </row>
    <row r="593" spans="1:18" s="106" customFormat="1" x14ac:dyDescent="0.3">
      <c r="P593" s="104"/>
      <c r="Q593" s="105"/>
    </row>
    <row r="594" spans="1:18" x14ac:dyDescent="0.3">
      <c r="A594" s="132"/>
      <c r="B594" s="121"/>
    </row>
    <row r="595" spans="1:18" x14ac:dyDescent="0.3">
      <c r="A595" s="132"/>
    </row>
    <row r="596" spans="1:18" x14ac:dyDescent="0.3">
      <c r="A596" s="132"/>
    </row>
    <row r="597" spans="1:18" x14ac:dyDescent="0.3">
      <c r="A597" s="132"/>
    </row>
    <row r="598" spans="1:18" s="106" customFormat="1" x14ac:dyDescent="0.3">
      <c r="P598" s="104"/>
      <c r="Q598" s="105"/>
    </row>
    <row r="599" spans="1:18" x14ac:dyDescent="0.3">
      <c r="A599" s="132"/>
    </row>
    <row r="600" spans="1:18" x14ac:dyDescent="0.3">
      <c r="A600" s="132"/>
      <c r="B600" s="49"/>
    </row>
    <row r="601" spans="1:18" x14ac:dyDescent="0.3">
      <c r="A601" s="132"/>
    </row>
    <row r="602" spans="1:18" x14ac:dyDescent="0.3">
      <c r="A602" s="132"/>
      <c r="B602" s="121"/>
    </row>
    <row r="603" spans="1:18" x14ac:dyDescent="0.3">
      <c r="A603" s="132"/>
    </row>
    <row r="604" spans="1:18" x14ac:dyDescent="0.3">
      <c r="A604" s="132"/>
    </row>
    <row r="605" spans="1:18" x14ac:dyDescent="0.3">
      <c r="A605" s="132"/>
    </row>
    <row r="606" spans="1:18" x14ac:dyDescent="0.3">
      <c r="A606" s="132"/>
    </row>
    <row r="607" spans="1:18" x14ac:dyDescent="0.3">
      <c r="A607" s="132"/>
    </row>
    <row r="608" spans="1:18" x14ac:dyDescent="0.3">
      <c r="A608" s="132"/>
      <c r="R608" s="90" t="s">
        <v>19</v>
      </c>
    </row>
    <row r="609" spans="1:17" s="106" customFormat="1" x14ac:dyDescent="0.3">
      <c r="P609" s="104"/>
      <c r="Q609" s="105"/>
    </row>
    <row r="610" spans="1:17" x14ac:dyDescent="0.3">
      <c r="A610" s="132"/>
    </row>
    <row r="611" spans="1:17" x14ac:dyDescent="0.3">
      <c r="A611" s="132"/>
    </row>
    <row r="612" spans="1:17" x14ac:dyDescent="0.3">
      <c r="A612" s="132"/>
      <c r="B612" s="49"/>
    </row>
    <row r="613" spans="1:17" x14ac:dyDescent="0.3">
      <c r="A613" s="132"/>
    </row>
    <row r="614" spans="1:17" x14ac:dyDescent="0.3">
      <c r="A614" s="132"/>
    </row>
    <row r="615" spans="1:17" x14ac:dyDescent="0.3">
      <c r="A615" s="132"/>
    </row>
    <row r="616" spans="1:17" x14ac:dyDescent="0.3">
      <c r="A616" s="132"/>
    </row>
    <row r="617" spans="1:17" x14ac:dyDescent="0.3">
      <c r="A617" s="132"/>
      <c r="B617" s="121"/>
    </row>
    <row r="618" spans="1:17" x14ac:dyDescent="0.3">
      <c r="A618" s="132"/>
    </row>
    <row r="619" spans="1:17" s="106" customFormat="1" x14ac:dyDescent="0.3">
      <c r="P619" s="104"/>
      <c r="Q619" s="105"/>
    </row>
    <row r="620" spans="1:17" x14ac:dyDescent="0.3">
      <c r="A620" s="132"/>
    </row>
    <row r="621" spans="1:17" x14ac:dyDescent="0.3">
      <c r="A621" s="132"/>
    </row>
    <row r="622" spans="1:17" x14ac:dyDescent="0.3">
      <c r="A622" s="132"/>
    </row>
    <row r="623" spans="1:17" x14ac:dyDescent="0.3">
      <c r="A623" s="132"/>
      <c r="B623" s="49"/>
    </row>
    <row r="624" spans="1:17" x14ac:dyDescent="0.3">
      <c r="A624" s="132"/>
    </row>
    <row r="625" spans="1:17" x14ac:dyDescent="0.3">
      <c r="A625" s="132"/>
    </row>
    <row r="626" spans="1:17" x14ac:dyDescent="0.3">
      <c r="A626" s="132"/>
    </row>
    <row r="627" spans="1:17" x14ac:dyDescent="0.3">
      <c r="A627" s="132"/>
    </row>
    <row r="628" spans="1:17" x14ac:dyDescent="0.3">
      <c r="A628" s="132"/>
    </row>
    <row r="629" spans="1:17" x14ac:dyDescent="0.3">
      <c r="A629" s="132"/>
    </row>
    <row r="630" spans="1:17" x14ac:dyDescent="0.3">
      <c r="A630" s="132"/>
      <c r="B630" s="121"/>
    </row>
    <row r="631" spans="1:17" x14ac:dyDescent="0.3">
      <c r="A631" s="132"/>
    </row>
    <row r="632" spans="1:17" s="106" customFormat="1" x14ac:dyDescent="0.3">
      <c r="P632" s="104"/>
      <c r="Q632" s="105"/>
    </row>
    <row r="633" spans="1:17" x14ac:dyDescent="0.3">
      <c r="A633" s="132"/>
      <c r="B633" s="121"/>
    </row>
    <row r="634" spans="1:17" x14ac:dyDescent="0.3">
      <c r="A634" s="132"/>
    </row>
    <row r="635" spans="1:17" x14ac:dyDescent="0.3">
      <c r="A635" s="132"/>
    </row>
    <row r="636" spans="1:17" x14ac:dyDescent="0.3">
      <c r="A636" s="132"/>
    </row>
    <row r="637" spans="1:17" x14ac:dyDescent="0.3">
      <c r="A637" s="132"/>
    </row>
    <row r="638" spans="1:17" x14ac:dyDescent="0.3">
      <c r="A638" s="132"/>
      <c r="B638" s="121"/>
    </row>
    <row r="639" spans="1:17" x14ac:dyDescent="0.3">
      <c r="A639" s="132"/>
    </row>
    <row r="640" spans="1:17" x14ac:dyDescent="0.3">
      <c r="A640" s="132"/>
    </row>
    <row r="641" spans="1:17" x14ac:dyDescent="0.3">
      <c r="A641" s="132"/>
    </row>
    <row r="642" spans="1:17" s="106" customFormat="1" x14ac:dyDescent="0.3">
      <c r="P642" s="104"/>
      <c r="Q642" s="105"/>
    </row>
    <row r="643" spans="1:17" x14ac:dyDescent="0.3">
      <c r="A643" s="132"/>
      <c r="B643" s="49"/>
    </row>
    <row r="644" spans="1:17" x14ac:dyDescent="0.3">
      <c r="A644" s="132"/>
    </row>
    <row r="645" spans="1:17" x14ac:dyDescent="0.3">
      <c r="A645" s="132"/>
    </row>
    <row r="646" spans="1:17" x14ac:dyDescent="0.3">
      <c r="A646" s="132"/>
      <c r="B646" s="121"/>
    </row>
    <row r="647" spans="1:17" x14ac:dyDescent="0.3">
      <c r="A647" s="132"/>
    </row>
    <row r="648" spans="1:17" x14ac:dyDescent="0.3">
      <c r="A648" s="132"/>
    </row>
    <row r="649" spans="1:17" x14ac:dyDescent="0.3">
      <c r="A649" s="132"/>
    </row>
    <row r="650" spans="1:17" x14ac:dyDescent="0.3">
      <c r="A650" s="132"/>
    </row>
    <row r="651" spans="1:17" s="106" customFormat="1" x14ac:dyDescent="0.3">
      <c r="P651" s="104"/>
      <c r="Q651" s="105"/>
    </row>
    <row r="652" spans="1:17" x14ac:dyDescent="0.3">
      <c r="A652" s="132"/>
    </row>
    <row r="653" spans="1:17" x14ac:dyDescent="0.3">
      <c r="A653" s="132"/>
    </row>
    <row r="654" spans="1:17" x14ac:dyDescent="0.3">
      <c r="A654" s="132"/>
      <c r="B654" s="121"/>
    </row>
    <row r="655" spans="1:17" x14ac:dyDescent="0.3">
      <c r="A655" s="132"/>
    </row>
    <row r="656" spans="1:17" s="106" customFormat="1" x14ac:dyDescent="0.3">
      <c r="P656" s="104"/>
      <c r="Q656" s="105"/>
    </row>
    <row r="657" spans="1:19" x14ac:dyDescent="0.3">
      <c r="A657" s="132"/>
    </row>
    <row r="658" spans="1:19" x14ac:dyDescent="0.3">
      <c r="A658" s="132"/>
      <c r="B658" s="121"/>
    </row>
    <row r="659" spans="1:19" x14ac:dyDescent="0.3">
      <c r="A659" s="132"/>
    </row>
    <row r="660" spans="1:19" x14ac:dyDescent="0.3">
      <c r="A660" s="132"/>
    </row>
    <row r="661" spans="1:19" x14ac:dyDescent="0.3">
      <c r="A661" s="132"/>
    </row>
    <row r="662" spans="1:19" x14ac:dyDescent="0.3">
      <c r="A662" s="132"/>
    </row>
    <row r="663" spans="1:19" x14ac:dyDescent="0.3">
      <c r="A663" s="132"/>
      <c r="B663" s="121"/>
    </row>
    <row r="664" spans="1:19" x14ac:dyDescent="0.3">
      <c r="A664" s="132"/>
      <c r="S664" s="149"/>
    </row>
    <row r="665" spans="1:19" x14ac:dyDescent="0.3">
      <c r="A665" s="132"/>
    </row>
    <row r="666" spans="1:19" x14ac:dyDescent="0.3">
      <c r="A666" s="132"/>
    </row>
    <row r="667" spans="1:19" x14ac:dyDescent="0.3">
      <c r="A667" s="132"/>
    </row>
    <row r="668" spans="1:19" s="106" customFormat="1" x14ac:dyDescent="0.3">
      <c r="P668" s="104"/>
      <c r="Q668" s="105"/>
    </row>
    <row r="669" spans="1:19" x14ac:dyDescent="0.3">
      <c r="A669" s="132"/>
    </row>
    <row r="670" spans="1:19" s="134" customFormat="1" x14ac:dyDescent="0.3">
      <c r="P670" s="135"/>
      <c r="Q670" s="136"/>
    </row>
    <row r="671" spans="1:19" x14ac:dyDescent="0.3">
      <c r="A671" s="132"/>
    </row>
    <row r="672" spans="1:19" x14ac:dyDescent="0.3">
      <c r="A672" s="132"/>
    </row>
    <row r="673" spans="1:17" x14ac:dyDescent="0.3">
      <c r="A673" s="132"/>
    </row>
    <row r="674" spans="1:17" x14ac:dyDescent="0.3">
      <c r="A674" s="132"/>
    </row>
    <row r="675" spans="1:17" x14ac:dyDescent="0.3">
      <c r="A675" s="132"/>
      <c r="B675" s="121"/>
    </row>
    <row r="676" spans="1:17" x14ac:dyDescent="0.3">
      <c r="A676" s="132"/>
    </row>
    <row r="677" spans="1:17" x14ac:dyDescent="0.3">
      <c r="A677" s="132"/>
    </row>
    <row r="678" spans="1:17" x14ac:dyDescent="0.3">
      <c r="A678" s="132"/>
      <c r="B678" s="121"/>
    </row>
    <row r="679" spans="1:17" x14ac:dyDescent="0.3">
      <c r="A679" s="132"/>
      <c r="B679" s="147"/>
    </row>
    <row r="680" spans="1:17" x14ac:dyDescent="0.3">
      <c r="A680" s="132"/>
      <c r="B680" s="147"/>
    </row>
    <row r="681" spans="1:17" x14ac:dyDescent="0.3">
      <c r="A681" s="132"/>
      <c r="B681" s="147"/>
    </row>
    <row r="682" spans="1:17" x14ac:dyDescent="0.3">
      <c r="A682" s="132"/>
      <c r="B682" s="147"/>
    </row>
    <row r="683" spans="1:17" x14ac:dyDescent="0.3">
      <c r="A683" s="132"/>
      <c r="B683" s="147"/>
    </row>
    <row r="684" spans="1:17" x14ac:dyDescent="0.3">
      <c r="A684" s="132"/>
    </row>
    <row r="685" spans="1:17" s="134" customFormat="1" x14ac:dyDescent="0.3">
      <c r="P685" s="135"/>
      <c r="Q685" s="136"/>
    </row>
    <row r="686" spans="1:17" x14ac:dyDescent="0.3">
      <c r="A686" s="132"/>
    </row>
    <row r="687" spans="1:17" x14ac:dyDescent="0.3">
      <c r="A687" s="132"/>
    </row>
    <row r="688" spans="1:17" x14ac:dyDescent="0.3">
      <c r="A688" s="132"/>
    </row>
    <row r="689" spans="1:19" x14ac:dyDescent="0.3">
      <c r="A689" s="132"/>
      <c r="S689" s="149"/>
    </row>
    <row r="690" spans="1:19" x14ac:dyDescent="0.3">
      <c r="A690" s="132"/>
    </row>
    <row r="691" spans="1:19" x14ac:dyDescent="0.3">
      <c r="A691" s="132"/>
      <c r="R691" s="149"/>
    </row>
    <row r="692" spans="1:19" x14ac:dyDescent="0.3">
      <c r="A692" s="132"/>
      <c r="R692" s="149"/>
    </row>
    <row r="693" spans="1:19" x14ac:dyDescent="0.3">
      <c r="A693" s="132"/>
      <c r="B693" s="121"/>
    </row>
    <row r="694" spans="1:19" x14ac:dyDescent="0.3">
      <c r="A694" s="132"/>
    </row>
    <row r="695" spans="1:19" x14ac:dyDescent="0.3">
      <c r="A695" s="132"/>
    </row>
    <row r="696" spans="1:19" x14ac:dyDescent="0.3">
      <c r="A696" s="132"/>
    </row>
    <row r="697" spans="1:19" s="106" customFormat="1" x14ac:dyDescent="0.3">
      <c r="P697" s="104"/>
      <c r="Q697" s="105"/>
    </row>
    <row r="698" spans="1:19" x14ac:dyDescent="0.3">
      <c r="A698" s="132"/>
    </row>
    <row r="699" spans="1:19" x14ac:dyDescent="0.3">
      <c r="A699" s="132"/>
    </row>
    <row r="700" spans="1:19" x14ac:dyDescent="0.3">
      <c r="A700" s="132"/>
    </row>
    <row r="701" spans="1:19" x14ac:dyDescent="0.3">
      <c r="A701" s="132"/>
    </row>
    <row r="702" spans="1:19" x14ac:dyDescent="0.3">
      <c r="A702" s="132"/>
    </row>
    <row r="703" spans="1:19" x14ac:dyDescent="0.3">
      <c r="A703" s="132"/>
    </row>
    <row r="704" spans="1:19" x14ac:dyDescent="0.3">
      <c r="A704" s="132"/>
    </row>
    <row r="705" spans="1:17" x14ac:dyDescent="0.3">
      <c r="A705" s="132"/>
    </row>
    <row r="706" spans="1:17" s="106" customFormat="1" x14ac:dyDescent="0.3">
      <c r="P706" s="104"/>
      <c r="Q706" s="105"/>
    </row>
    <row r="707" spans="1:17" x14ac:dyDescent="0.3">
      <c r="A707" s="132"/>
      <c r="B707" s="121"/>
    </row>
    <row r="708" spans="1:17" x14ac:dyDescent="0.3">
      <c r="A708" s="132"/>
    </row>
    <row r="709" spans="1:17" x14ac:dyDescent="0.3">
      <c r="A709" s="132"/>
    </row>
    <row r="710" spans="1:17" x14ac:dyDescent="0.3">
      <c r="A710" s="132"/>
    </row>
    <row r="711" spans="1:17" x14ac:dyDescent="0.3">
      <c r="A711" s="132"/>
    </row>
    <row r="712" spans="1:17" x14ac:dyDescent="0.3">
      <c r="A712" s="132"/>
    </row>
    <row r="713" spans="1:17" x14ac:dyDescent="0.3">
      <c r="A713" s="132"/>
    </row>
    <row r="714" spans="1:17" x14ac:dyDescent="0.3">
      <c r="A714" s="132"/>
    </row>
    <row r="715" spans="1:17" x14ac:dyDescent="0.3">
      <c r="A715" s="132"/>
    </row>
    <row r="716" spans="1:17" x14ac:dyDescent="0.3">
      <c r="A716" s="132"/>
      <c r="B716" s="121"/>
    </row>
    <row r="717" spans="1:17" x14ac:dyDescent="0.3">
      <c r="A717" s="132"/>
    </row>
    <row r="718" spans="1:17" s="106" customFormat="1" x14ac:dyDescent="0.3">
      <c r="P718" s="104"/>
      <c r="Q718" s="105"/>
    </row>
    <row r="719" spans="1:17" x14ac:dyDescent="0.3">
      <c r="A719" s="132"/>
    </row>
    <row r="720" spans="1:17" x14ac:dyDescent="0.3">
      <c r="A720" s="132"/>
    </row>
    <row r="721" spans="1:17" x14ac:dyDescent="0.3">
      <c r="A721" s="132"/>
    </row>
    <row r="722" spans="1:17" x14ac:dyDescent="0.3">
      <c r="A722" s="132"/>
    </row>
    <row r="723" spans="1:17" x14ac:dyDescent="0.3">
      <c r="A723" s="132"/>
    </row>
    <row r="724" spans="1:17" x14ac:dyDescent="0.3">
      <c r="A724" s="132"/>
      <c r="B724" s="147"/>
    </row>
    <row r="725" spans="1:17" x14ac:dyDescent="0.3">
      <c r="A725" s="132"/>
    </row>
    <row r="726" spans="1:17" x14ac:dyDescent="0.3">
      <c r="A726" s="132"/>
    </row>
    <row r="727" spans="1:17" x14ac:dyDescent="0.3">
      <c r="A727" s="132"/>
    </row>
    <row r="728" spans="1:17" s="106" customFormat="1" x14ac:dyDescent="0.3">
      <c r="P728" s="104"/>
      <c r="Q728" s="105"/>
    </row>
    <row r="729" spans="1:17" x14ac:dyDescent="0.3">
      <c r="A729" s="132"/>
      <c r="B729" s="121"/>
    </row>
    <row r="730" spans="1:17" x14ac:dyDescent="0.3">
      <c r="A730" s="132"/>
    </row>
    <row r="731" spans="1:17" x14ac:dyDescent="0.3">
      <c r="A731" s="132"/>
    </row>
    <row r="732" spans="1:17" x14ac:dyDescent="0.3">
      <c r="A732" s="132"/>
    </row>
    <row r="733" spans="1:17" x14ac:dyDescent="0.3">
      <c r="A733" s="132"/>
    </row>
    <row r="734" spans="1:17" x14ac:dyDescent="0.3">
      <c r="A734" s="132"/>
    </row>
    <row r="735" spans="1:17" x14ac:dyDescent="0.3">
      <c r="A735" s="132"/>
    </row>
    <row r="736" spans="1:17" x14ac:dyDescent="0.3">
      <c r="A736" s="132"/>
    </row>
    <row r="737" spans="1:17" x14ac:dyDescent="0.3">
      <c r="A737" s="132"/>
    </row>
    <row r="738" spans="1:17" x14ac:dyDescent="0.3">
      <c r="A738" s="132"/>
      <c r="B738" s="147"/>
    </row>
    <row r="739" spans="1:17" x14ac:dyDescent="0.3">
      <c r="A739" s="132"/>
    </row>
    <row r="740" spans="1:17" x14ac:dyDescent="0.3">
      <c r="A740" s="132"/>
    </row>
    <row r="741" spans="1:17" x14ac:dyDescent="0.3">
      <c r="A741" s="132"/>
      <c r="B741" s="121"/>
    </row>
    <row r="742" spans="1:17" s="106" customFormat="1" x14ac:dyDescent="0.3">
      <c r="P742" s="104"/>
      <c r="Q742" s="105"/>
    </row>
    <row r="743" spans="1:17" x14ac:dyDescent="0.3">
      <c r="A743" s="132"/>
    </row>
    <row r="744" spans="1:17" x14ac:dyDescent="0.3">
      <c r="A744" s="132"/>
    </row>
    <row r="745" spans="1:17" x14ac:dyDescent="0.3">
      <c r="A745" s="132"/>
    </row>
    <row r="746" spans="1:17" x14ac:dyDescent="0.3">
      <c r="A746" s="132"/>
    </row>
    <row r="747" spans="1:17" x14ac:dyDescent="0.3">
      <c r="A747" s="132"/>
    </row>
    <row r="748" spans="1:17" x14ac:dyDescent="0.3">
      <c r="A748" s="132"/>
    </row>
    <row r="749" spans="1:17" x14ac:dyDescent="0.3">
      <c r="A749" s="132"/>
      <c r="B749" s="147"/>
    </row>
    <row r="750" spans="1:17" x14ac:dyDescent="0.3">
      <c r="A750" s="132"/>
    </row>
    <row r="751" spans="1:17" x14ac:dyDescent="0.3">
      <c r="A751" s="132"/>
      <c r="B751" s="121"/>
    </row>
    <row r="752" spans="1:17" x14ac:dyDescent="0.3">
      <c r="A752" s="132"/>
    </row>
    <row r="753" spans="1:19" x14ac:dyDescent="0.3">
      <c r="A753" s="132"/>
    </row>
    <row r="754" spans="1:19" x14ac:dyDescent="0.3">
      <c r="A754" s="132"/>
      <c r="B754" s="121"/>
    </row>
    <row r="755" spans="1:19" x14ac:dyDescent="0.3">
      <c r="A755" s="132"/>
    </row>
    <row r="756" spans="1:19" x14ac:dyDescent="0.3">
      <c r="A756" s="132"/>
    </row>
    <row r="757" spans="1:19" s="106" customFormat="1" x14ac:dyDescent="0.3">
      <c r="P757" s="104"/>
      <c r="Q757" s="105"/>
    </row>
    <row r="758" spans="1:19" x14ac:dyDescent="0.3">
      <c r="A758" s="132"/>
    </row>
    <row r="759" spans="1:19" x14ac:dyDescent="0.3">
      <c r="A759" s="132"/>
    </row>
    <row r="760" spans="1:19" x14ac:dyDescent="0.3">
      <c r="A760" s="132"/>
      <c r="B760" s="121"/>
    </row>
    <row r="761" spans="1:19" x14ac:dyDescent="0.3">
      <c r="A761" s="132"/>
    </row>
    <row r="762" spans="1:19" x14ac:dyDescent="0.3">
      <c r="A762" s="132"/>
    </row>
    <row r="763" spans="1:19" x14ac:dyDescent="0.3">
      <c r="A763" s="132"/>
    </row>
    <row r="764" spans="1:19" x14ac:dyDescent="0.3">
      <c r="A764" s="132"/>
    </row>
    <row r="765" spans="1:19" x14ac:dyDescent="0.3">
      <c r="A765" s="132"/>
    </row>
    <row r="766" spans="1:19" s="106" customFormat="1" x14ac:dyDescent="0.3">
      <c r="P766" s="104"/>
      <c r="Q766" s="105"/>
    </row>
    <row r="767" spans="1:19" x14ac:dyDescent="0.3">
      <c r="A767" s="132"/>
      <c r="S767" s="149"/>
    </row>
    <row r="768" spans="1:19" x14ac:dyDescent="0.3">
      <c r="A768" s="132"/>
    </row>
    <row r="769" spans="1:17" x14ac:dyDescent="0.3">
      <c r="A769" s="132"/>
    </row>
    <row r="770" spans="1:17" x14ac:dyDescent="0.3">
      <c r="A770" s="132"/>
    </row>
    <row r="771" spans="1:17" x14ac:dyDescent="0.3">
      <c r="A771" s="132"/>
      <c r="B771" s="121"/>
    </row>
    <row r="772" spans="1:17" x14ac:dyDescent="0.3">
      <c r="A772" s="132"/>
    </row>
    <row r="773" spans="1:17" x14ac:dyDescent="0.3">
      <c r="A773" s="132"/>
    </row>
    <row r="774" spans="1:17" x14ac:dyDescent="0.3">
      <c r="A774" s="132"/>
    </row>
    <row r="775" spans="1:17" x14ac:dyDescent="0.3">
      <c r="A775" s="132"/>
    </row>
    <row r="776" spans="1:17" s="106" customFormat="1" x14ac:dyDescent="0.3">
      <c r="P776" s="104"/>
      <c r="Q776" s="105"/>
    </row>
    <row r="777" spans="1:17" x14ac:dyDescent="0.3">
      <c r="A777" s="132"/>
    </row>
    <row r="778" spans="1:17" x14ac:dyDescent="0.3">
      <c r="A778" s="132"/>
    </row>
    <row r="779" spans="1:17" x14ac:dyDescent="0.3">
      <c r="A779" s="132"/>
    </row>
    <row r="780" spans="1:17" x14ac:dyDescent="0.3">
      <c r="A780" s="132"/>
    </row>
    <row r="781" spans="1:17" x14ac:dyDescent="0.3">
      <c r="A781" s="132"/>
    </row>
    <row r="782" spans="1:17" x14ac:dyDescent="0.3">
      <c r="A782" s="132"/>
    </row>
    <row r="783" spans="1:17" x14ac:dyDescent="0.3">
      <c r="A783" s="132"/>
    </row>
    <row r="784" spans="1:17" x14ac:dyDescent="0.3">
      <c r="A784" s="132"/>
      <c r="B784" s="121"/>
    </row>
    <row r="785" spans="1:17" s="106" customFormat="1" x14ac:dyDescent="0.3">
      <c r="P785" s="104"/>
      <c r="Q785" s="105"/>
    </row>
    <row r="786" spans="1:17" x14ac:dyDescent="0.3">
      <c r="A786" s="132"/>
    </row>
    <row r="787" spans="1:17" x14ac:dyDescent="0.3">
      <c r="A787" s="132"/>
    </row>
    <row r="788" spans="1:17" x14ac:dyDescent="0.3">
      <c r="A788" s="132"/>
    </row>
    <row r="789" spans="1:17" x14ac:dyDescent="0.3">
      <c r="A789" s="132"/>
    </row>
    <row r="790" spans="1:17" x14ac:dyDescent="0.3">
      <c r="A790" s="132"/>
    </row>
    <row r="791" spans="1:17" x14ac:dyDescent="0.3">
      <c r="A791" s="132"/>
    </row>
    <row r="792" spans="1:17" x14ac:dyDescent="0.3">
      <c r="A792" s="132"/>
    </row>
    <row r="793" spans="1:17" x14ac:dyDescent="0.3">
      <c r="A793" s="132"/>
    </row>
    <row r="794" spans="1:17" x14ac:dyDescent="0.3">
      <c r="A794" s="132"/>
    </row>
    <row r="795" spans="1:17" x14ac:dyDescent="0.3">
      <c r="A795" s="132"/>
    </row>
    <row r="796" spans="1:17" s="106" customFormat="1" x14ac:dyDescent="0.3">
      <c r="P796" s="104"/>
      <c r="Q796" s="105"/>
    </row>
    <row r="797" spans="1:17" x14ac:dyDescent="0.3">
      <c r="A797" s="132"/>
      <c r="B797" s="121"/>
    </row>
    <row r="798" spans="1:17" x14ac:dyDescent="0.3">
      <c r="A798" s="132"/>
    </row>
    <row r="799" spans="1:17" x14ac:dyDescent="0.3">
      <c r="A799" s="132"/>
    </row>
    <row r="800" spans="1:17" x14ac:dyDescent="0.3">
      <c r="A800" s="132"/>
    </row>
    <row r="801" spans="1:17" x14ac:dyDescent="0.3">
      <c r="A801" s="132"/>
      <c r="B801" s="121"/>
    </row>
    <row r="802" spans="1:17" x14ac:dyDescent="0.3">
      <c r="A802" s="132"/>
    </row>
    <row r="803" spans="1:17" x14ac:dyDescent="0.3">
      <c r="A803" s="132"/>
    </row>
    <row r="804" spans="1:17" x14ac:dyDescent="0.3">
      <c r="A804" s="132"/>
    </row>
    <row r="805" spans="1:17" x14ac:dyDescent="0.3">
      <c r="A805" s="132"/>
    </row>
    <row r="806" spans="1:17" s="106" customFormat="1" x14ac:dyDescent="0.3">
      <c r="P806" s="104"/>
      <c r="Q806" s="105"/>
    </row>
    <row r="807" spans="1:17" x14ac:dyDescent="0.3">
      <c r="A807" s="132"/>
      <c r="B807" s="121"/>
    </row>
    <row r="808" spans="1:17" x14ac:dyDescent="0.3">
      <c r="A808" s="132"/>
    </row>
    <row r="809" spans="1:17" x14ac:dyDescent="0.3">
      <c r="A809" s="132"/>
    </row>
    <row r="810" spans="1:17" x14ac:dyDescent="0.3">
      <c r="A810" s="132"/>
    </row>
    <row r="811" spans="1:17" x14ac:dyDescent="0.3">
      <c r="A811" s="132"/>
    </row>
    <row r="812" spans="1:17" x14ac:dyDescent="0.3">
      <c r="A812" s="132"/>
    </row>
    <row r="813" spans="1:17" x14ac:dyDescent="0.3">
      <c r="A813" s="132"/>
      <c r="B813" s="121"/>
    </row>
    <row r="814" spans="1:17" x14ac:dyDescent="0.3">
      <c r="A814" s="132"/>
      <c r="B814" s="121"/>
    </row>
    <row r="815" spans="1:17" x14ac:dyDescent="0.3">
      <c r="A815" s="132"/>
    </row>
    <row r="816" spans="1:17" s="106" customFormat="1" x14ac:dyDescent="0.3">
      <c r="P816" s="104"/>
      <c r="Q816" s="105"/>
    </row>
    <row r="817" spans="1:17" x14ac:dyDescent="0.3">
      <c r="A817" s="132"/>
    </row>
    <row r="818" spans="1:17" x14ac:dyDescent="0.3">
      <c r="A818" s="132"/>
    </row>
    <row r="819" spans="1:17" x14ac:dyDescent="0.3">
      <c r="A819" s="132"/>
    </row>
    <row r="820" spans="1:17" x14ac:dyDescent="0.3">
      <c r="A820" s="132"/>
      <c r="B820" s="121"/>
    </row>
    <row r="821" spans="1:17" x14ac:dyDescent="0.3">
      <c r="A821" s="132"/>
    </row>
    <row r="822" spans="1:17" s="106" customFormat="1" x14ac:dyDescent="0.3">
      <c r="P822" s="104"/>
      <c r="Q822" s="105"/>
    </row>
    <row r="823" spans="1:17" x14ac:dyDescent="0.3">
      <c r="A823" s="132"/>
    </row>
    <row r="824" spans="1:17" x14ac:dyDescent="0.3">
      <c r="A824" s="132"/>
    </row>
    <row r="825" spans="1:17" x14ac:dyDescent="0.3">
      <c r="A825" s="132"/>
    </row>
    <row r="826" spans="1:17" x14ac:dyDescent="0.3">
      <c r="A826" s="132"/>
    </row>
    <row r="827" spans="1:17" x14ac:dyDescent="0.3">
      <c r="A827" s="132"/>
    </row>
    <row r="828" spans="1:17" x14ac:dyDescent="0.3">
      <c r="A828" s="132"/>
      <c r="B828" s="121"/>
    </row>
    <row r="829" spans="1:17" x14ac:dyDescent="0.3">
      <c r="A829" s="132"/>
    </row>
    <row r="830" spans="1:17" x14ac:dyDescent="0.3">
      <c r="A830" s="132"/>
    </row>
    <row r="831" spans="1:17" x14ac:dyDescent="0.3">
      <c r="A831" s="132"/>
    </row>
    <row r="832" spans="1:17" x14ac:dyDescent="0.3">
      <c r="A832" s="132"/>
      <c r="B832" s="121"/>
    </row>
    <row r="833" spans="1:17" s="106" customFormat="1" x14ac:dyDescent="0.3">
      <c r="B833" s="131"/>
      <c r="P833" s="104"/>
      <c r="Q833" s="105"/>
    </row>
    <row r="834" spans="1:17" x14ac:dyDescent="0.3">
      <c r="A834" s="132"/>
    </row>
    <row r="835" spans="1:17" x14ac:dyDescent="0.3">
      <c r="A835" s="132"/>
    </row>
    <row r="836" spans="1:17" x14ac:dyDescent="0.3">
      <c r="A836" s="132"/>
    </row>
    <row r="837" spans="1:17" x14ac:dyDescent="0.3">
      <c r="A837" s="132"/>
    </row>
    <row r="838" spans="1:17" x14ac:dyDescent="0.3">
      <c r="A838" s="132"/>
    </row>
    <row r="839" spans="1:17" x14ac:dyDescent="0.3">
      <c r="A839" s="132"/>
    </row>
    <row r="840" spans="1:17" s="106" customFormat="1" x14ac:dyDescent="0.3">
      <c r="P840" s="104"/>
      <c r="Q840" s="105"/>
    </row>
    <row r="841" spans="1:17" x14ac:dyDescent="0.3">
      <c r="A841" s="132"/>
    </row>
    <row r="842" spans="1:17" x14ac:dyDescent="0.3">
      <c r="A842" s="132"/>
    </row>
    <row r="843" spans="1:17" x14ac:dyDescent="0.3">
      <c r="A843" s="132"/>
    </row>
    <row r="844" spans="1:17" x14ac:dyDescent="0.3">
      <c r="A844" s="132"/>
    </row>
    <row r="845" spans="1:17" x14ac:dyDescent="0.3">
      <c r="A845" s="132"/>
    </row>
    <row r="846" spans="1:17" x14ac:dyDescent="0.3">
      <c r="A846" s="132"/>
    </row>
    <row r="847" spans="1:17" x14ac:dyDescent="0.3">
      <c r="A847" s="132"/>
    </row>
    <row r="848" spans="1:17" s="106" customFormat="1" x14ac:dyDescent="0.3">
      <c r="P848" s="104"/>
      <c r="Q848" s="105"/>
    </row>
    <row r="849" spans="1:17" x14ac:dyDescent="0.3">
      <c r="A849" s="132"/>
    </row>
    <row r="850" spans="1:17" x14ac:dyDescent="0.3">
      <c r="A850" s="132"/>
    </row>
    <row r="851" spans="1:17" x14ac:dyDescent="0.3">
      <c r="A851" s="132"/>
      <c r="Q851" s="100"/>
    </row>
    <row r="852" spans="1:17" s="106" customFormat="1" x14ac:dyDescent="0.3">
      <c r="P852" s="104"/>
      <c r="Q852" s="105"/>
    </row>
    <row r="853" spans="1:17" x14ac:dyDescent="0.3">
      <c r="A853" s="132"/>
    </row>
    <row r="854" spans="1:17" x14ac:dyDescent="0.3">
      <c r="A854" s="132"/>
    </row>
    <row r="855" spans="1:17" x14ac:dyDescent="0.3">
      <c r="A855" s="132"/>
    </row>
    <row r="856" spans="1:17" x14ac:dyDescent="0.3">
      <c r="A856" s="132"/>
    </row>
    <row r="857" spans="1:17" x14ac:dyDescent="0.3">
      <c r="A857" s="132"/>
      <c r="B857" s="121"/>
    </row>
    <row r="858" spans="1:17" x14ac:dyDescent="0.3">
      <c r="A858" s="132"/>
    </row>
    <row r="859" spans="1:17" s="106" customFormat="1" x14ac:dyDescent="0.3">
      <c r="P859" s="104"/>
      <c r="Q859" s="105"/>
    </row>
    <row r="860" spans="1:17" x14ac:dyDescent="0.3">
      <c r="A860" s="132"/>
    </row>
    <row r="861" spans="1:17" x14ac:dyDescent="0.3">
      <c r="A861" s="132"/>
    </row>
    <row r="862" spans="1:17" x14ac:dyDescent="0.3">
      <c r="A862" s="132"/>
    </row>
    <row r="863" spans="1:17" x14ac:dyDescent="0.3">
      <c r="A863" s="132"/>
      <c r="B863" s="121"/>
    </row>
    <row r="864" spans="1:17" x14ac:dyDescent="0.3">
      <c r="A864" s="132"/>
    </row>
    <row r="865" spans="1:17" s="106" customFormat="1" x14ac:dyDescent="0.3">
      <c r="P865" s="104"/>
      <c r="Q865" s="105"/>
    </row>
    <row r="866" spans="1:17" x14ac:dyDescent="0.3">
      <c r="A866" s="132"/>
    </row>
    <row r="867" spans="1:17" x14ac:dyDescent="0.3">
      <c r="A867" s="132"/>
    </row>
    <row r="868" spans="1:17" x14ac:dyDescent="0.3">
      <c r="A868" s="132"/>
    </row>
    <row r="869" spans="1:17" x14ac:dyDescent="0.3">
      <c r="A869" s="132"/>
    </row>
    <row r="870" spans="1:17" x14ac:dyDescent="0.3">
      <c r="A870" s="132"/>
      <c r="B870" s="121"/>
    </row>
    <row r="871" spans="1:17" x14ac:dyDescent="0.3">
      <c r="A871" s="132"/>
    </row>
    <row r="872" spans="1:17" x14ac:dyDescent="0.3">
      <c r="A872" s="132"/>
    </row>
    <row r="873" spans="1:17" s="106" customFormat="1" x14ac:dyDescent="0.3">
      <c r="A873" s="137"/>
      <c r="P873" s="104"/>
      <c r="Q873" s="105"/>
    </row>
    <row r="874" spans="1:17" x14ac:dyDescent="0.3">
      <c r="A874" s="132"/>
    </row>
    <row r="875" spans="1:17" x14ac:dyDescent="0.3">
      <c r="A875" s="132"/>
    </row>
    <row r="876" spans="1:17" x14ac:dyDescent="0.3">
      <c r="A876" s="132"/>
    </row>
    <row r="877" spans="1:17" x14ac:dyDescent="0.3">
      <c r="A877" s="132"/>
    </row>
    <row r="878" spans="1:17" x14ac:dyDescent="0.3">
      <c r="A878" s="132"/>
      <c r="B878" s="121"/>
    </row>
    <row r="879" spans="1:17" s="106" customFormat="1" x14ac:dyDescent="0.3">
      <c r="P879" s="104"/>
      <c r="Q879" s="105"/>
    </row>
    <row r="880" spans="1:17" x14ac:dyDescent="0.3">
      <c r="A880" s="132"/>
    </row>
    <row r="881" spans="1:17" x14ac:dyDescent="0.3">
      <c r="A881" s="132"/>
    </row>
    <row r="882" spans="1:17" x14ac:dyDescent="0.3">
      <c r="A882" s="132"/>
    </row>
    <row r="883" spans="1:17" x14ac:dyDescent="0.3">
      <c r="A883" s="132"/>
    </row>
    <row r="884" spans="1:17" x14ac:dyDescent="0.3">
      <c r="A884" s="132"/>
    </row>
    <row r="885" spans="1:17" x14ac:dyDescent="0.3">
      <c r="A885" s="132"/>
    </row>
    <row r="886" spans="1:17" x14ac:dyDescent="0.3">
      <c r="A886" s="132"/>
    </row>
    <row r="887" spans="1:17" s="106" customFormat="1" x14ac:dyDescent="0.3">
      <c r="P887" s="104"/>
      <c r="Q887" s="105"/>
    </row>
    <row r="888" spans="1:17" x14ac:dyDescent="0.3">
      <c r="A888" s="132"/>
    </row>
    <row r="889" spans="1:17" x14ac:dyDescent="0.3">
      <c r="A889" s="132"/>
    </row>
    <row r="890" spans="1:17" x14ac:dyDescent="0.3">
      <c r="A890" s="132"/>
    </row>
    <row r="891" spans="1:17" x14ac:dyDescent="0.3">
      <c r="A891" s="132"/>
    </row>
    <row r="892" spans="1:17" x14ac:dyDescent="0.3">
      <c r="A892" s="132"/>
    </row>
    <row r="893" spans="1:17" x14ac:dyDescent="0.3">
      <c r="A893" s="132"/>
    </row>
    <row r="894" spans="1:17" x14ac:dyDescent="0.3">
      <c r="A894" s="132"/>
      <c r="B894" s="121"/>
    </row>
    <row r="895" spans="1:17" x14ac:dyDescent="0.3">
      <c r="A895" s="132"/>
    </row>
    <row r="896" spans="1:17" s="106" customFormat="1" x14ac:dyDescent="0.3">
      <c r="P896" s="104"/>
      <c r="Q896" s="105"/>
    </row>
    <row r="897" spans="1:19" x14ac:dyDescent="0.3">
      <c r="A897" s="132"/>
    </row>
    <row r="898" spans="1:19" x14ac:dyDescent="0.3">
      <c r="A898" s="132"/>
    </row>
    <row r="899" spans="1:19" x14ac:dyDescent="0.3">
      <c r="A899" s="132"/>
    </row>
    <row r="900" spans="1:19" s="106" customFormat="1" x14ac:dyDescent="0.3">
      <c r="P900" s="104"/>
      <c r="Q900" s="105"/>
    </row>
    <row r="901" spans="1:19" x14ac:dyDescent="0.3">
      <c r="A901" s="132"/>
    </row>
    <row r="902" spans="1:19" s="106" customFormat="1" x14ac:dyDescent="0.3">
      <c r="P902" s="104"/>
      <c r="Q902" s="105"/>
    </row>
    <row r="903" spans="1:19" x14ac:dyDescent="0.3">
      <c r="A903" s="132"/>
    </row>
    <row r="904" spans="1:19" x14ac:dyDescent="0.3">
      <c r="A904" s="132"/>
      <c r="B904" s="121"/>
    </row>
    <row r="905" spans="1:19" x14ac:dyDescent="0.3">
      <c r="A905" s="132"/>
    </row>
    <row r="906" spans="1:19" x14ac:dyDescent="0.3">
      <c r="A906" s="132"/>
    </row>
    <row r="907" spans="1:19" x14ac:dyDescent="0.3">
      <c r="A907" s="132"/>
    </row>
    <row r="908" spans="1:19" x14ac:dyDescent="0.3">
      <c r="A908" s="132"/>
    </row>
    <row r="909" spans="1:19" x14ac:dyDescent="0.3">
      <c r="A909" s="132"/>
      <c r="S909" s="149"/>
    </row>
    <row r="910" spans="1:19" s="106" customFormat="1" x14ac:dyDescent="0.3">
      <c r="P910" s="104"/>
      <c r="Q910" s="105"/>
    </row>
    <row r="911" spans="1:19" x14ac:dyDescent="0.3">
      <c r="A911" s="132"/>
    </row>
    <row r="912" spans="1:19" x14ac:dyDescent="0.3">
      <c r="A912" s="132"/>
    </row>
    <row r="913" spans="1:17" x14ac:dyDescent="0.3">
      <c r="A913" s="132"/>
    </row>
    <row r="914" spans="1:17" s="106" customFormat="1" x14ac:dyDescent="0.3">
      <c r="A914" s="137"/>
      <c r="P914" s="104"/>
      <c r="Q914" s="105"/>
    </row>
    <row r="915" spans="1:17" x14ac:dyDescent="0.3">
      <c r="A915" s="132"/>
    </row>
    <row r="916" spans="1:17" x14ac:dyDescent="0.3">
      <c r="A916" s="132"/>
    </row>
    <row r="917" spans="1:17" x14ac:dyDescent="0.3">
      <c r="A917" s="132"/>
    </row>
    <row r="918" spans="1:17" s="106" customFormat="1" x14ac:dyDescent="0.3">
      <c r="P918" s="104"/>
      <c r="Q918" s="105"/>
    </row>
    <row r="919" spans="1:17" x14ac:dyDescent="0.3">
      <c r="A919" s="132"/>
    </row>
    <row r="920" spans="1:17" x14ac:dyDescent="0.3">
      <c r="A920" s="132"/>
    </row>
    <row r="921" spans="1:17" x14ac:dyDescent="0.3">
      <c r="A921" s="132"/>
    </row>
    <row r="922" spans="1:17" x14ac:dyDescent="0.3">
      <c r="A922" s="132"/>
    </row>
    <row r="923" spans="1:17" x14ac:dyDescent="0.3">
      <c r="A923" s="132"/>
    </row>
    <row r="924" spans="1:17" s="106" customFormat="1" x14ac:dyDescent="0.3">
      <c r="P924" s="104"/>
      <c r="Q924" s="105"/>
    </row>
    <row r="925" spans="1:17" x14ac:dyDescent="0.3">
      <c r="A925" s="132"/>
    </row>
    <row r="926" spans="1:17" x14ac:dyDescent="0.3">
      <c r="A926" s="132"/>
    </row>
    <row r="927" spans="1:17" x14ac:dyDescent="0.3">
      <c r="A927" s="132"/>
    </row>
    <row r="928" spans="1:17" x14ac:dyDescent="0.3">
      <c r="A928" s="132"/>
    </row>
    <row r="929" spans="1:17" x14ac:dyDescent="0.3">
      <c r="A929" s="132"/>
    </row>
    <row r="930" spans="1:17" x14ac:dyDescent="0.3">
      <c r="A930" s="132"/>
    </row>
    <row r="931" spans="1:17" x14ac:dyDescent="0.3">
      <c r="A931" s="132"/>
    </row>
    <row r="932" spans="1:17" x14ac:dyDescent="0.3">
      <c r="A932" s="132"/>
    </row>
    <row r="933" spans="1:17" s="106" customFormat="1" x14ac:dyDescent="0.3">
      <c r="P933" s="104"/>
      <c r="Q933" s="105"/>
    </row>
    <row r="934" spans="1:17" x14ac:dyDescent="0.3">
      <c r="A934" s="132"/>
    </row>
    <row r="935" spans="1:17" x14ac:dyDescent="0.3">
      <c r="A935" s="132"/>
    </row>
    <row r="936" spans="1:17" x14ac:dyDescent="0.3">
      <c r="A936" s="132"/>
    </row>
    <row r="937" spans="1:17" x14ac:dyDescent="0.3">
      <c r="A937" s="132"/>
    </row>
    <row r="938" spans="1:17" x14ac:dyDescent="0.3">
      <c r="A938" s="132"/>
    </row>
    <row r="939" spans="1:17" x14ac:dyDescent="0.3">
      <c r="A939" s="132"/>
    </row>
    <row r="940" spans="1:17" s="106" customFormat="1" x14ac:dyDescent="0.3">
      <c r="P940" s="104"/>
      <c r="Q940" s="105"/>
    </row>
    <row r="941" spans="1:17" x14ac:dyDescent="0.3">
      <c r="A941" s="132"/>
    </row>
    <row r="942" spans="1:17" x14ac:dyDescent="0.3">
      <c r="A942" s="132"/>
    </row>
    <row r="943" spans="1:17" x14ac:dyDescent="0.3">
      <c r="A943" s="132"/>
    </row>
    <row r="944" spans="1:17" x14ac:dyDescent="0.3">
      <c r="A944" s="132"/>
    </row>
    <row r="945" spans="1:17" x14ac:dyDescent="0.3">
      <c r="A945" s="132"/>
    </row>
    <row r="946" spans="1:17" x14ac:dyDescent="0.3">
      <c r="A946" s="132"/>
      <c r="B946" s="121"/>
    </row>
    <row r="947" spans="1:17" x14ac:dyDescent="0.3">
      <c r="A947" s="132"/>
    </row>
    <row r="948" spans="1:17" x14ac:dyDescent="0.3">
      <c r="A948" s="132"/>
    </row>
    <row r="949" spans="1:17" x14ac:dyDescent="0.3">
      <c r="A949" s="132"/>
      <c r="B949" s="147"/>
    </row>
    <row r="950" spans="1:17" s="106" customFormat="1" x14ac:dyDescent="0.3">
      <c r="B950" s="131"/>
      <c r="P950" s="104"/>
      <c r="Q950" s="105"/>
    </row>
    <row r="951" spans="1:17" x14ac:dyDescent="0.3">
      <c r="A951" s="132"/>
    </row>
    <row r="952" spans="1:17" x14ac:dyDescent="0.3">
      <c r="A952" s="132"/>
    </row>
    <row r="953" spans="1:17" x14ac:dyDescent="0.3">
      <c r="A953" s="132"/>
    </row>
    <row r="954" spans="1:17" x14ac:dyDescent="0.3">
      <c r="A954" s="132"/>
    </row>
    <row r="955" spans="1:17" x14ac:dyDescent="0.3">
      <c r="A955" s="132"/>
    </row>
    <row r="956" spans="1:17" s="106" customFormat="1" x14ac:dyDescent="0.3">
      <c r="P956" s="104"/>
      <c r="Q956" s="105"/>
    </row>
    <row r="957" spans="1:17" x14ac:dyDescent="0.3">
      <c r="A957" s="132"/>
    </row>
    <row r="958" spans="1:17" x14ac:dyDescent="0.3">
      <c r="A958" s="132"/>
    </row>
    <row r="959" spans="1:17" s="106" customFormat="1" x14ac:dyDescent="0.3">
      <c r="B959" s="131"/>
      <c r="P959" s="104"/>
      <c r="Q959" s="105"/>
    </row>
    <row r="960" spans="1:17" x14ac:dyDescent="0.3">
      <c r="A960" s="132"/>
    </row>
    <row r="961" spans="1:17" x14ac:dyDescent="0.3">
      <c r="A961" s="132"/>
    </row>
    <row r="962" spans="1:17" x14ac:dyDescent="0.3">
      <c r="A962" s="132"/>
    </row>
    <row r="963" spans="1:17" s="106" customFormat="1" x14ac:dyDescent="0.3">
      <c r="P963" s="104"/>
      <c r="Q963" s="105"/>
    </row>
    <row r="964" spans="1:17" x14ac:dyDescent="0.3">
      <c r="A964" s="132"/>
    </row>
    <row r="965" spans="1:17" x14ac:dyDescent="0.3">
      <c r="A965" s="132"/>
    </row>
    <row r="966" spans="1:17" s="106" customFormat="1" x14ac:dyDescent="0.3">
      <c r="P966" s="104"/>
      <c r="Q966" s="105"/>
    </row>
    <row r="967" spans="1:17" x14ac:dyDescent="0.3">
      <c r="A967" s="132"/>
    </row>
    <row r="968" spans="1:17" s="106" customFormat="1" x14ac:dyDescent="0.3">
      <c r="A968" s="137"/>
      <c r="P968" s="104"/>
      <c r="Q968" s="105"/>
    </row>
    <row r="969" spans="1:17" x14ac:dyDescent="0.3">
      <c r="A969" s="132"/>
    </row>
    <row r="970" spans="1:17" s="106" customFormat="1" x14ac:dyDescent="0.3">
      <c r="P970" s="104"/>
      <c r="Q970" s="105"/>
    </row>
    <row r="971" spans="1:17" x14ac:dyDescent="0.3">
      <c r="A971" s="132"/>
    </row>
    <row r="972" spans="1:17" x14ac:dyDescent="0.3">
      <c r="A972" s="132"/>
    </row>
    <row r="973" spans="1:17" x14ac:dyDescent="0.3">
      <c r="A973" s="132"/>
    </row>
    <row r="974" spans="1:17" x14ac:dyDescent="0.3">
      <c r="A974" s="132"/>
    </row>
    <row r="975" spans="1:17" x14ac:dyDescent="0.3">
      <c r="A975" s="132"/>
    </row>
    <row r="976" spans="1:17" s="106" customFormat="1" x14ac:dyDescent="0.3">
      <c r="P976" s="104"/>
      <c r="Q976" s="105"/>
    </row>
    <row r="977" spans="1:18" x14ac:dyDescent="0.3">
      <c r="A977" s="132"/>
    </row>
    <row r="978" spans="1:18" x14ac:dyDescent="0.3">
      <c r="A978" s="132"/>
      <c r="R978" s="149"/>
    </row>
    <row r="979" spans="1:18" x14ac:dyDescent="0.3">
      <c r="A979" s="132"/>
    </row>
    <row r="980" spans="1:18" s="106" customFormat="1" x14ac:dyDescent="0.3">
      <c r="P980" s="104"/>
      <c r="Q980" s="105"/>
    </row>
    <row r="981" spans="1:18" x14ac:dyDescent="0.3">
      <c r="A981" s="132"/>
    </row>
    <row r="982" spans="1:18" x14ac:dyDescent="0.3">
      <c r="A982" s="132"/>
      <c r="B982" s="121"/>
    </row>
    <row r="983" spans="1:18" x14ac:dyDescent="0.3">
      <c r="A983" s="132"/>
    </row>
    <row r="984" spans="1:18" x14ac:dyDescent="0.3">
      <c r="A984" s="132"/>
    </row>
    <row r="985" spans="1:18" s="106" customFormat="1" x14ac:dyDescent="0.3">
      <c r="P985" s="104"/>
      <c r="Q985" s="105"/>
    </row>
    <row r="986" spans="1:18" x14ac:dyDescent="0.3">
      <c r="A986" s="132"/>
    </row>
    <row r="987" spans="1:18" x14ac:dyDescent="0.3">
      <c r="A987" s="132"/>
    </row>
    <row r="988" spans="1:18" x14ac:dyDescent="0.3">
      <c r="A988" s="132"/>
    </row>
    <row r="989" spans="1:18" s="106" customFormat="1" x14ac:dyDescent="0.3">
      <c r="P989" s="104"/>
      <c r="Q989" s="105"/>
    </row>
    <row r="990" spans="1:18" x14ac:dyDescent="0.3">
      <c r="A990" s="132"/>
    </row>
    <row r="991" spans="1:18" x14ac:dyDescent="0.3">
      <c r="A991" s="132"/>
    </row>
    <row r="992" spans="1:18" x14ac:dyDescent="0.3">
      <c r="A992" s="132"/>
    </row>
    <row r="993" spans="1:17" x14ac:dyDescent="0.3">
      <c r="A993" s="132"/>
    </row>
    <row r="994" spans="1:17" s="106" customFormat="1" x14ac:dyDescent="0.3">
      <c r="P994" s="104"/>
      <c r="Q994" s="105"/>
    </row>
    <row r="995" spans="1:17" x14ac:dyDescent="0.3">
      <c r="A995" s="132"/>
    </row>
    <row r="996" spans="1:17" x14ac:dyDescent="0.3">
      <c r="A996" s="132"/>
    </row>
    <row r="997" spans="1:17" x14ac:dyDescent="0.3">
      <c r="A997" s="132"/>
    </row>
    <row r="998" spans="1:17" x14ac:dyDescent="0.3">
      <c r="A998" s="132"/>
    </row>
    <row r="999" spans="1:17" s="106" customFormat="1" x14ac:dyDescent="0.3">
      <c r="P999" s="104"/>
      <c r="Q999" s="105"/>
    </row>
    <row r="1000" spans="1:17" x14ac:dyDescent="0.3">
      <c r="A1000" s="132"/>
    </row>
    <row r="1001" spans="1:17" x14ac:dyDescent="0.3">
      <c r="A1001" s="132"/>
    </row>
    <row r="1002" spans="1:17" s="106" customFormat="1" x14ac:dyDescent="0.3">
      <c r="P1002" s="104"/>
      <c r="Q1002" s="105"/>
    </row>
    <row r="1008" spans="1:17" s="106" customFormat="1" x14ac:dyDescent="0.3">
      <c r="P1008" s="104"/>
      <c r="Q1008" s="105"/>
    </row>
    <row r="1009" spans="1:17" x14ac:dyDescent="0.3">
      <c r="A1009" s="132"/>
    </row>
    <row r="1013" spans="1:17" x14ac:dyDescent="0.3">
      <c r="B1013" s="121"/>
    </row>
    <row r="1017" spans="1:17" s="106" customFormat="1" x14ac:dyDescent="0.3">
      <c r="P1017" s="104"/>
      <c r="Q1017" s="105"/>
    </row>
    <row r="1018" spans="1:17" x14ac:dyDescent="0.3">
      <c r="A1018" s="132"/>
    </row>
    <row r="1020" spans="1:17" x14ac:dyDescent="0.3">
      <c r="B1020" s="121"/>
    </row>
    <row r="1023" spans="1:17" s="106" customFormat="1" x14ac:dyDescent="0.3">
      <c r="P1023" s="104"/>
      <c r="Q1023" s="105"/>
    </row>
    <row r="1024" spans="1:17" x14ac:dyDescent="0.3">
      <c r="A1024" s="132"/>
      <c r="B1024" s="121"/>
    </row>
    <row r="1036" spans="1:17" s="106" customFormat="1" x14ac:dyDescent="0.3">
      <c r="P1036" s="104"/>
      <c r="Q1036" s="105"/>
    </row>
    <row r="1037" spans="1:17" x14ac:dyDescent="0.3">
      <c r="A1037" s="132"/>
      <c r="B1037" s="121"/>
    </row>
    <row r="1044" spans="1:17" s="106" customFormat="1" x14ac:dyDescent="0.3">
      <c r="P1044" s="104"/>
      <c r="Q1044" s="105"/>
    </row>
    <row r="1045" spans="1:17" x14ac:dyDescent="0.3">
      <c r="A1045" s="132"/>
      <c r="B1045" s="121"/>
    </row>
    <row r="1050" spans="1:17" s="106" customFormat="1" x14ac:dyDescent="0.3">
      <c r="P1050" s="104"/>
      <c r="Q1050" s="105"/>
    </row>
    <row r="1051" spans="1:17" x14ac:dyDescent="0.3">
      <c r="A1051" s="132"/>
    </row>
    <row r="1052" spans="1:17" x14ac:dyDescent="0.3">
      <c r="A1052" s="155"/>
    </row>
    <row r="1053" spans="1:17" x14ac:dyDescent="0.3">
      <c r="A1053" s="132"/>
      <c r="B1053" s="121"/>
    </row>
    <row r="1054" spans="1:17" x14ac:dyDescent="0.3">
      <c r="A1054" s="155"/>
    </row>
    <row r="1055" spans="1:17" x14ac:dyDescent="0.3">
      <c r="A1055" s="132"/>
    </row>
    <row r="1056" spans="1:17" x14ac:dyDescent="0.3">
      <c r="A1056" s="155"/>
    </row>
    <row r="1057" spans="1:17" x14ac:dyDescent="0.3">
      <c r="A1057" s="132"/>
    </row>
    <row r="1058" spans="1:17" x14ac:dyDescent="0.3">
      <c r="A1058" s="155"/>
    </row>
    <row r="1059" spans="1:17" x14ac:dyDescent="0.3">
      <c r="A1059" s="132"/>
    </row>
    <row r="1060" spans="1:17" s="138" customFormat="1" x14ac:dyDescent="0.3">
      <c r="P1060" s="139"/>
      <c r="Q1060" s="140"/>
    </row>
    <row r="1061" spans="1:17" x14ac:dyDescent="0.3">
      <c r="A1061" s="132"/>
    </row>
    <row r="1062" spans="1:17" x14ac:dyDescent="0.3">
      <c r="A1062" s="132"/>
      <c r="B1062" s="121"/>
    </row>
    <row r="1063" spans="1:17" x14ac:dyDescent="0.3">
      <c r="A1063" s="132"/>
      <c r="B1063" s="121"/>
    </row>
    <row r="1064" spans="1:17" x14ac:dyDescent="0.3">
      <c r="A1064" s="132"/>
    </row>
    <row r="1065" spans="1:17" x14ac:dyDescent="0.3">
      <c r="A1065" s="132"/>
    </row>
    <row r="1066" spans="1:17" x14ac:dyDescent="0.3">
      <c r="A1066" s="132"/>
    </row>
    <row r="1067" spans="1:17" x14ac:dyDescent="0.3">
      <c r="A1067" s="132"/>
    </row>
    <row r="1068" spans="1:17" x14ac:dyDescent="0.3">
      <c r="A1068" s="132"/>
    </row>
    <row r="1069" spans="1:17" x14ac:dyDescent="0.3">
      <c r="A1069" s="132"/>
    </row>
    <row r="1070" spans="1:17" x14ac:dyDescent="0.3">
      <c r="A1070" s="132"/>
    </row>
    <row r="1071" spans="1:17" s="138" customFormat="1" x14ac:dyDescent="0.3">
      <c r="P1071" s="139"/>
      <c r="Q1071" s="140"/>
    </row>
    <row r="1072" spans="1:17" x14ac:dyDescent="0.3">
      <c r="A1072" s="132"/>
    </row>
    <row r="1073" spans="1:17" x14ac:dyDescent="0.3">
      <c r="A1073" s="132"/>
      <c r="B1073" s="121"/>
    </row>
    <row r="1074" spans="1:17" x14ac:dyDescent="0.3">
      <c r="A1074" s="132"/>
    </row>
    <row r="1075" spans="1:17" x14ac:dyDescent="0.3">
      <c r="A1075" s="132"/>
    </row>
    <row r="1076" spans="1:17" x14ac:dyDescent="0.3">
      <c r="A1076" s="132"/>
    </row>
    <row r="1077" spans="1:17" x14ac:dyDescent="0.3">
      <c r="A1077" s="132"/>
    </row>
    <row r="1078" spans="1:17" x14ac:dyDescent="0.3">
      <c r="A1078" s="132"/>
    </row>
    <row r="1079" spans="1:17" x14ac:dyDescent="0.3">
      <c r="A1079" s="132"/>
    </row>
    <row r="1080" spans="1:17" x14ac:dyDescent="0.3">
      <c r="A1080" s="132"/>
    </row>
    <row r="1081" spans="1:17" x14ac:dyDescent="0.3">
      <c r="A1081" s="132"/>
    </row>
    <row r="1082" spans="1:17" x14ac:dyDescent="0.3">
      <c r="A1082" s="132"/>
    </row>
    <row r="1083" spans="1:17" s="138" customFormat="1" x14ac:dyDescent="0.3">
      <c r="P1083" s="139"/>
      <c r="Q1083" s="140"/>
    </row>
    <row r="1084" spans="1:17" x14ac:dyDescent="0.3">
      <c r="A1084" s="132"/>
    </row>
    <row r="1085" spans="1:17" x14ac:dyDescent="0.3">
      <c r="A1085" s="132"/>
    </row>
    <row r="1086" spans="1:17" x14ac:dyDescent="0.3">
      <c r="A1086" s="132"/>
    </row>
    <row r="1087" spans="1:17" x14ac:dyDescent="0.3">
      <c r="A1087" s="132"/>
    </row>
    <row r="1088" spans="1:17" x14ac:dyDescent="0.3">
      <c r="A1088" s="132"/>
    </row>
    <row r="1089" spans="1:17" x14ac:dyDescent="0.3">
      <c r="A1089" s="132"/>
    </row>
    <row r="1090" spans="1:17" x14ac:dyDescent="0.3">
      <c r="A1090" s="132"/>
    </row>
    <row r="1091" spans="1:17" x14ac:dyDescent="0.3">
      <c r="A1091" s="132"/>
      <c r="B1091" s="121"/>
    </row>
    <row r="1092" spans="1:17" x14ac:dyDescent="0.3">
      <c r="A1092" s="132"/>
    </row>
    <row r="1093" spans="1:17" x14ac:dyDescent="0.3">
      <c r="A1093" s="132"/>
    </row>
    <row r="1094" spans="1:17" x14ac:dyDescent="0.3">
      <c r="A1094" s="132"/>
    </row>
    <row r="1095" spans="1:17" x14ac:dyDescent="0.3">
      <c r="A1095" s="132"/>
    </row>
    <row r="1096" spans="1:17" x14ac:dyDescent="0.3">
      <c r="A1096" s="132"/>
    </row>
    <row r="1097" spans="1:17" x14ac:dyDescent="0.3">
      <c r="A1097" s="132"/>
    </row>
    <row r="1098" spans="1:17" s="138" customFormat="1" x14ac:dyDescent="0.3">
      <c r="P1098" s="139"/>
      <c r="Q1098" s="140"/>
    </row>
    <row r="1099" spans="1:17" x14ac:dyDescent="0.3">
      <c r="A1099" s="132"/>
    </row>
    <row r="1100" spans="1:17" x14ac:dyDescent="0.3">
      <c r="A1100" s="132"/>
    </row>
    <row r="1101" spans="1:17" x14ac:dyDescent="0.3">
      <c r="A1101" s="132"/>
    </row>
    <row r="1102" spans="1:17" x14ac:dyDescent="0.3">
      <c r="A1102" s="132"/>
    </row>
    <row r="1103" spans="1:17" x14ac:dyDescent="0.3">
      <c r="A1103" s="132"/>
    </row>
    <row r="1104" spans="1:17" x14ac:dyDescent="0.3">
      <c r="A1104" s="132"/>
    </row>
    <row r="1105" spans="1:17" x14ac:dyDescent="0.3">
      <c r="A1105" s="132"/>
    </row>
    <row r="1106" spans="1:17" x14ac:dyDescent="0.3">
      <c r="A1106" s="132"/>
    </row>
    <row r="1107" spans="1:17" x14ac:dyDescent="0.3">
      <c r="A1107" s="132"/>
    </row>
    <row r="1108" spans="1:17" x14ac:dyDescent="0.3">
      <c r="A1108" s="132"/>
    </row>
    <row r="1109" spans="1:17" x14ac:dyDescent="0.3">
      <c r="A1109" s="132"/>
    </row>
    <row r="1110" spans="1:17" x14ac:dyDescent="0.3">
      <c r="A1110" s="132"/>
    </row>
    <row r="1111" spans="1:17" x14ac:dyDescent="0.3">
      <c r="A1111" s="132"/>
    </row>
    <row r="1112" spans="1:17" x14ac:dyDescent="0.3">
      <c r="A1112" s="132"/>
    </row>
    <row r="1113" spans="1:17" x14ac:dyDescent="0.3">
      <c r="A1113" s="132"/>
    </row>
    <row r="1114" spans="1:17" s="138" customFormat="1" x14ac:dyDescent="0.3">
      <c r="P1114" s="139"/>
      <c r="Q1114" s="140"/>
    </row>
    <row r="1115" spans="1:17" x14ac:dyDescent="0.3">
      <c r="A1115" s="132"/>
    </row>
    <row r="1116" spans="1:17" x14ac:dyDescent="0.3">
      <c r="A1116" s="132"/>
    </row>
  </sheetData>
  <autoFilter ref="A1:S1119" xr:uid="{F9909C3F-150A-4741-BC9C-8FE28DA6FBFC}"/>
  <pageMargins left="0.19685039370078741" right="0.19685039370078741" top="0.19685039370078741" bottom="0.19685039370078741" header="0.31496062992125984" footer="0.31496062992125984"/>
  <pageSetup paperSize="9" scale="5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9C31D-9C54-4271-871F-4B56CB60DE28}">
  <dimension ref="A1:T1167"/>
  <sheetViews>
    <sheetView zoomScale="90" zoomScaleNormal="90" workbookViewId="0">
      <pane ySplit="1" topLeftCell="A34" activePane="bottomLeft" state="frozen"/>
      <selection pane="bottomLeft" activeCell="J78" sqref="J78"/>
    </sheetView>
  </sheetViews>
  <sheetFormatPr defaultColWidth="8.88671875" defaultRowHeight="14.4" x14ac:dyDescent="0.3"/>
  <cols>
    <col min="1" max="1" width="7.44140625" style="46" customWidth="1"/>
    <col min="2" max="2" width="27.88671875" style="50" customWidth="1"/>
    <col min="3" max="3" width="10.44140625" style="50" customWidth="1"/>
    <col min="4" max="4" width="10.88671875" style="36" bestFit="1" customWidth="1"/>
    <col min="5" max="5" width="10.88671875" style="37" bestFit="1" customWidth="1"/>
    <col min="6" max="6" width="10.88671875" style="38" bestFit="1" customWidth="1"/>
    <col min="7" max="7" width="10.88671875" style="39" bestFit="1" customWidth="1"/>
    <col min="8" max="8" width="8.88671875" style="40"/>
    <col min="9" max="9" width="8.88671875" style="41"/>
    <col min="10" max="10" width="11.109375" style="42" customWidth="1"/>
    <col min="11" max="11" width="14.44140625" style="42" customWidth="1"/>
    <col min="12" max="12" width="12.21875" style="42" customWidth="1"/>
    <col min="13" max="13" width="8.5546875" style="43" customWidth="1"/>
    <col min="14" max="15" width="10" style="44" customWidth="1"/>
    <col min="16" max="16" width="8.5546875" style="45" customWidth="1"/>
    <col min="17" max="17" width="17.109375" style="27" customWidth="1"/>
    <col min="18" max="18" width="19.109375" style="28" customWidth="1"/>
    <col min="19" max="19" width="15.21875" style="29" customWidth="1"/>
    <col min="20" max="20" width="12.88671875" style="29" bestFit="1" customWidth="1"/>
    <col min="21" max="16384" width="8.88671875" style="29"/>
  </cols>
  <sheetData>
    <row r="1" spans="1:20" s="16" customFormat="1" ht="26.4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56" t="s">
        <v>71</v>
      </c>
      <c r="P1" s="12" t="s">
        <v>72</v>
      </c>
      <c r="Q1" s="13" t="s">
        <v>15</v>
      </c>
      <c r="R1" s="14" t="s">
        <v>16</v>
      </c>
      <c r="S1" s="15" t="s">
        <v>17</v>
      </c>
      <c r="T1" s="15" t="s">
        <v>18</v>
      </c>
    </row>
    <row r="2" spans="1:20" x14ac:dyDescent="0.3">
      <c r="A2" s="35">
        <v>46054</v>
      </c>
      <c r="B2" s="50" t="s">
        <v>69</v>
      </c>
    </row>
    <row r="3" spans="1:20" s="34" customFormat="1" x14ac:dyDescent="0.3">
      <c r="Q3" s="51"/>
      <c r="R3" s="52"/>
    </row>
    <row r="4" spans="1:20" ht="15.6" x14ac:dyDescent="0.3">
      <c r="A4" s="35">
        <v>46055</v>
      </c>
      <c r="B4" s="17" t="s">
        <v>37</v>
      </c>
      <c r="I4" s="41">
        <v>10</v>
      </c>
      <c r="N4" s="44">
        <v>10</v>
      </c>
      <c r="Q4" s="27" t="s">
        <v>26</v>
      </c>
      <c r="R4" s="28">
        <v>6400000</v>
      </c>
    </row>
    <row r="5" spans="1:20" ht="15.6" x14ac:dyDescent="0.3">
      <c r="A5" s="35">
        <v>46055</v>
      </c>
      <c r="B5" s="17" t="s">
        <v>30</v>
      </c>
      <c r="G5" s="39">
        <v>28</v>
      </c>
      <c r="N5" s="44">
        <v>28</v>
      </c>
      <c r="Q5" s="27" t="s">
        <v>26</v>
      </c>
      <c r="R5" s="28">
        <f>28*570000</f>
        <v>15960000</v>
      </c>
    </row>
    <row r="6" spans="1:20" ht="15.6" x14ac:dyDescent="0.3">
      <c r="A6" s="35">
        <v>46055</v>
      </c>
      <c r="B6" s="17" t="s">
        <v>50</v>
      </c>
      <c r="H6" s="40">
        <v>50</v>
      </c>
      <c r="I6" s="41">
        <v>93</v>
      </c>
      <c r="N6" s="44">
        <v>143</v>
      </c>
      <c r="Q6" s="27" t="s">
        <v>26</v>
      </c>
      <c r="R6" s="28">
        <f>50*600000+93*640000</f>
        <v>89520000</v>
      </c>
    </row>
    <row r="7" spans="1:20" s="33" customFormat="1" ht="15.6" x14ac:dyDescent="0.3">
      <c r="B7" s="67"/>
      <c r="O7" s="33">
        <v>181</v>
      </c>
      <c r="P7" s="33" t="s">
        <v>53</v>
      </c>
      <c r="Q7" s="31"/>
      <c r="R7" s="32">
        <f>SUM(R4:R6)</f>
        <v>111880000</v>
      </c>
    </row>
    <row r="8" spans="1:20" ht="15.6" x14ac:dyDescent="0.3">
      <c r="A8" s="35">
        <v>46056</v>
      </c>
      <c r="B8" s="17" t="s">
        <v>37</v>
      </c>
      <c r="H8" s="40">
        <v>120</v>
      </c>
      <c r="N8" s="44">
        <v>120</v>
      </c>
      <c r="Q8" s="27" t="s">
        <v>26</v>
      </c>
      <c r="R8" s="28">
        <f>600000*120</f>
        <v>72000000</v>
      </c>
    </row>
    <row r="9" spans="1:20" ht="15.6" x14ac:dyDescent="0.3">
      <c r="A9" s="35">
        <v>46056</v>
      </c>
      <c r="B9" s="49" t="s">
        <v>54</v>
      </c>
      <c r="G9" s="39">
        <v>10</v>
      </c>
      <c r="H9" s="40">
        <v>40</v>
      </c>
      <c r="N9" s="44">
        <v>50</v>
      </c>
      <c r="Q9" s="27" t="s">
        <v>26</v>
      </c>
      <c r="R9" s="28">
        <f>40*600000+5800000</f>
        <v>29800000</v>
      </c>
    </row>
    <row r="10" spans="1:20" ht="15.6" x14ac:dyDescent="0.3">
      <c r="A10" s="35">
        <v>46056</v>
      </c>
      <c r="B10" s="49" t="s">
        <v>55</v>
      </c>
      <c r="F10" s="38">
        <v>45</v>
      </c>
      <c r="N10" s="44">
        <v>45</v>
      </c>
      <c r="Q10" s="27" t="s">
        <v>56</v>
      </c>
      <c r="R10" s="28">
        <f>45*540000</f>
        <v>24300000</v>
      </c>
    </row>
    <row r="11" spans="1:20" s="54" customFormat="1" x14ac:dyDescent="0.3">
      <c r="B11" s="57"/>
      <c r="O11" s="54">
        <v>215</v>
      </c>
      <c r="P11" s="54">
        <v>246.5</v>
      </c>
      <c r="Q11" s="55"/>
      <c r="R11" s="56">
        <f>SUM(R8:R10)</f>
        <v>126100000</v>
      </c>
    </row>
    <row r="12" spans="1:20" x14ac:dyDescent="0.3">
      <c r="A12" s="35">
        <v>46057</v>
      </c>
      <c r="B12" s="47" t="s">
        <v>57</v>
      </c>
      <c r="H12" s="40">
        <v>482</v>
      </c>
      <c r="N12" s="44">
        <v>482</v>
      </c>
      <c r="Q12" s="27" t="s">
        <v>26</v>
      </c>
      <c r="R12" s="28">
        <f>482*600000</f>
        <v>289200000</v>
      </c>
    </row>
    <row r="13" spans="1:20" s="34" customFormat="1" x14ac:dyDescent="0.3">
      <c r="O13" s="34">
        <v>482</v>
      </c>
      <c r="P13" s="34">
        <v>502.5</v>
      </c>
      <c r="Q13" s="51"/>
      <c r="R13" s="52">
        <f>SUM(R12:R12)</f>
        <v>289200000</v>
      </c>
    </row>
    <row r="14" spans="1:20" ht="15.6" x14ac:dyDescent="0.3">
      <c r="A14" s="35">
        <v>46060</v>
      </c>
      <c r="B14" s="17" t="s">
        <v>37</v>
      </c>
      <c r="I14" s="41">
        <v>38</v>
      </c>
      <c r="N14" s="44">
        <v>38</v>
      </c>
      <c r="Q14" s="27" t="s">
        <v>26</v>
      </c>
      <c r="R14" s="28">
        <f>38*640000</f>
        <v>24320000</v>
      </c>
    </row>
    <row r="15" spans="1:20" ht="15.6" x14ac:dyDescent="0.3">
      <c r="A15" s="35">
        <v>46060</v>
      </c>
      <c r="B15" s="49" t="s">
        <v>54</v>
      </c>
      <c r="G15" s="39">
        <v>101</v>
      </c>
      <c r="N15" s="44">
        <v>101</v>
      </c>
      <c r="Q15" s="27" t="s">
        <v>26</v>
      </c>
      <c r="R15" s="28">
        <v>58580000</v>
      </c>
    </row>
    <row r="16" spans="1:20" ht="15.6" x14ac:dyDescent="0.3">
      <c r="A16" s="35">
        <v>46060</v>
      </c>
      <c r="B16" s="17" t="s">
        <v>50</v>
      </c>
      <c r="I16" s="41">
        <v>22</v>
      </c>
      <c r="N16" s="44">
        <v>22</v>
      </c>
      <c r="Q16" s="27" t="s">
        <v>26</v>
      </c>
      <c r="R16" s="28">
        <f>22*640000</f>
        <v>14080000</v>
      </c>
    </row>
    <row r="17" spans="1:20" s="54" customFormat="1" ht="15.6" x14ac:dyDescent="0.3">
      <c r="B17" s="68"/>
      <c r="O17" s="54">
        <v>161</v>
      </c>
      <c r="P17" s="54">
        <v>227.5</v>
      </c>
      <c r="Q17" s="55"/>
      <c r="R17" s="56">
        <f>SUM(R14:R16)</f>
        <v>96980000</v>
      </c>
    </row>
    <row r="18" spans="1:20" ht="15.6" x14ac:dyDescent="0.3">
      <c r="A18" s="35">
        <v>46061</v>
      </c>
      <c r="B18" s="17" t="s">
        <v>37</v>
      </c>
      <c r="H18" s="40">
        <v>123</v>
      </c>
      <c r="N18" s="44">
        <v>123</v>
      </c>
      <c r="Q18" s="27" t="s">
        <v>26</v>
      </c>
      <c r="R18" s="28">
        <f>H18*600000</f>
        <v>73800000</v>
      </c>
    </row>
    <row r="19" spans="1:20" ht="15.6" x14ac:dyDescent="0.3">
      <c r="A19" s="35">
        <v>46061</v>
      </c>
      <c r="B19" s="49" t="s">
        <v>54</v>
      </c>
      <c r="H19" s="40">
        <v>30</v>
      </c>
      <c r="N19" s="44">
        <v>30</v>
      </c>
      <c r="Q19" s="27" t="s">
        <v>26</v>
      </c>
      <c r="R19" s="28">
        <f>H19*600000</f>
        <v>18000000</v>
      </c>
    </row>
    <row r="20" spans="1:20" ht="15.6" x14ac:dyDescent="0.3">
      <c r="A20" s="35">
        <v>46061</v>
      </c>
      <c r="B20" s="17" t="s">
        <v>59</v>
      </c>
      <c r="D20" s="36">
        <v>30</v>
      </c>
      <c r="N20" s="44">
        <v>30</v>
      </c>
      <c r="Q20" s="27" t="s">
        <v>26</v>
      </c>
      <c r="R20" s="28">
        <f>D20*470000</f>
        <v>14100000</v>
      </c>
    </row>
    <row r="21" spans="1:20" s="33" customFormat="1" x14ac:dyDescent="0.3">
      <c r="O21" s="33">
        <v>183</v>
      </c>
      <c r="P21" s="33" t="s">
        <v>60</v>
      </c>
      <c r="Q21" s="31"/>
      <c r="R21" s="32">
        <f>SUM(R18:R20)</f>
        <v>105900000</v>
      </c>
    </row>
    <row r="22" spans="1:20" ht="15.6" x14ac:dyDescent="0.3">
      <c r="A22" s="35">
        <v>46062</v>
      </c>
      <c r="B22" s="49" t="s">
        <v>54</v>
      </c>
      <c r="H22" s="40">
        <v>22</v>
      </c>
      <c r="N22" s="44">
        <v>22</v>
      </c>
      <c r="Q22" s="27" t="s">
        <v>26</v>
      </c>
      <c r="R22" s="28">
        <f>22*600000</f>
        <v>13200000</v>
      </c>
    </row>
    <row r="23" spans="1:20" x14ac:dyDescent="0.3">
      <c r="A23" s="35">
        <v>46062</v>
      </c>
      <c r="B23" s="50" t="s">
        <v>58</v>
      </c>
      <c r="D23" s="36">
        <v>20</v>
      </c>
      <c r="N23" s="44">
        <v>20</v>
      </c>
      <c r="Q23" s="27" t="s">
        <v>20</v>
      </c>
      <c r="R23" s="28">
        <f>540000*20</f>
        <v>10800000</v>
      </c>
    </row>
    <row r="24" spans="1:20" ht="15.6" x14ac:dyDescent="0.3">
      <c r="A24" s="35">
        <v>46062</v>
      </c>
      <c r="B24" s="49" t="s">
        <v>55</v>
      </c>
      <c r="F24" s="38">
        <v>38</v>
      </c>
      <c r="G24" s="39">
        <v>10</v>
      </c>
      <c r="N24" s="44">
        <v>48</v>
      </c>
      <c r="Q24" s="27" t="s">
        <v>62</v>
      </c>
      <c r="R24" s="28">
        <f>38*540000+5800000</f>
        <v>26320000</v>
      </c>
      <c r="T24" s="58"/>
    </row>
    <row r="25" spans="1:20" s="34" customFormat="1" x14ac:dyDescent="0.3">
      <c r="O25" s="34">
        <v>90</v>
      </c>
      <c r="P25" s="34">
        <v>135.5</v>
      </c>
      <c r="Q25" s="51"/>
      <c r="R25" s="52">
        <f>SUM(R22:R24)</f>
        <v>50320000</v>
      </c>
    </row>
    <row r="26" spans="1:20" ht="15.6" x14ac:dyDescent="0.3">
      <c r="A26" s="35">
        <v>46063</v>
      </c>
      <c r="B26" s="17" t="s">
        <v>37</v>
      </c>
      <c r="H26" s="40">
        <v>113</v>
      </c>
      <c r="I26" s="41">
        <v>20</v>
      </c>
      <c r="N26" s="44">
        <f>H26+I26</f>
        <v>133</v>
      </c>
      <c r="Q26" s="27" t="s">
        <v>26</v>
      </c>
      <c r="R26" s="28">
        <f>113*600000+20*640000</f>
        <v>80600000</v>
      </c>
    </row>
    <row r="27" spans="1:20" x14ac:dyDescent="0.3">
      <c r="A27" s="35">
        <v>46063</v>
      </c>
      <c r="B27" s="47" t="s">
        <v>57</v>
      </c>
      <c r="I27" s="41">
        <v>58</v>
      </c>
      <c r="N27" s="44">
        <v>58</v>
      </c>
      <c r="Q27" s="27" t="s">
        <v>26</v>
      </c>
      <c r="R27" s="28">
        <f>58*640000</f>
        <v>37120000</v>
      </c>
    </row>
    <row r="28" spans="1:20" x14ac:dyDescent="0.3">
      <c r="A28" s="35">
        <v>46063</v>
      </c>
      <c r="B28" s="50" t="s">
        <v>63</v>
      </c>
      <c r="H28" s="40">
        <v>29</v>
      </c>
      <c r="N28" s="44">
        <v>29</v>
      </c>
      <c r="Q28" s="27" t="s">
        <v>26</v>
      </c>
      <c r="R28" s="28">
        <f>29*600000</f>
        <v>17400000</v>
      </c>
    </row>
    <row r="29" spans="1:20" ht="15.6" x14ac:dyDescent="0.3">
      <c r="A29" s="35">
        <v>46063</v>
      </c>
      <c r="B29" s="17" t="s">
        <v>50</v>
      </c>
      <c r="I29" s="41">
        <v>59</v>
      </c>
      <c r="N29" s="44">
        <v>59</v>
      </c>
      <c r="Q29" s="27" t="s">
        <v>62</v>
      </c>
      <c r="R29" s="28">
        <f>59*640000</f>
        <v>37760000</v>
      </c>
    </row>
    <row r="30" spans="1:20" ht="15.6" x14ac:dyDescent="0.3">
      <c r="A30" s="35">
        <v>46063</v>
      </c>
      <c r="B30" s="17" t="s">
        <v>65</v>
      </c>
      <c r="D30" s="36">
        <v>70</v>
      </c>
      <c r="N30" s="44">
        <v>70</v>
      </c>
      <c r="Q30" s="27" t="s">
        <v>26</v>
      </c>
      <c r="R30" s="28">
        <f>70*470000</f>
        <v>32900000</v>
      </c>
    </row>
    <row r="31" spans="1:20" x14ac:dyDescent="0.3">
      <c r="A31" s="35">
        <v>46063</v>
      </c>
      <c r="B31" s="50" t="s">
        <v>61</v>
      </c>
      <c r="G31" s="39">
        <v>10</v>
      </c>
      <c r="N31" s="44">
        <v>10</v>
      </c>
      <c r="Q31" s="27" t="s">
        <v>26</v>
      </c>
      <c r="R31" s="28">
        <v>5600000</v>
      </c>
    </row>
    <row r="32" spans="1:20" s="34" customFormat="1" x14ac:dyDescent="0.3">
      <c r="O32" s="34">
        <v>359</v>
      </c>
      <c r="P32" s="34">
        <v>381.5</v>
      </c>
      <c r="Q32" s="51"/>
      <c r="R32" s="52">
        <f>SUM(R26:R31)</f>
        <v>211380000</v>
      </c>
    </row>
    <row r="33" spans="1:18" x14ac:dyDescent="0.3">
      <c r="A33" s="35">
        <v>46064</v>
      </c>
      <c r="B33" s="50" t="s">
        <v>61</v>
      </c>
      <c r="G33" s="39">
        <v>12</v>
      </c>
      <c r="N33" s="44">
        <v>12</v>
      </c>
      <c r="Q33" s="27" t="s">
        <v>26</v>
      </c>
      <c r="R33" s="28">
        <f>12*560000</f>
        <v>6720000</v>
      </c>
    </row>
    <row r="34" spans="1:18" s="33" customFormat="1" x14ac:dyDescent="0.3">
      <c r="O34" s="33">
        <v>12</v>
      </c>
      <c r="P34" s="33">
        <v>38</v>
      </c>
      <c r="Q34" s="31"/>
      <c r="R34" s="32"/>
    </row>
    <row r="35" spans="1:18" ht="15.6" x14ac:dyDescent="0.3">
      <c r="A35" s="35">
        <v>46066</v>
      </c>
      <c r="B35" s="17" t="s">
        <v>59</v>
      </c>
      <c r="F35" s="38">
        <v>16</v>
      </c>
      <c r="N35" s="44">
        <v>16</v>
      </c>
      <c r="Q35" s="27" t="s">
        <v>40</v>
      </c>
      <c r="R35" s="28">
        <f>16*520000</f>
        <v>8320000</v>
      </c>
    </row>
    <row r="36" spans="1:18" s="33" customFormat="1" x14ac:dyDescent="0.3">
      <c r="O36" s="33">
        <v>16</v>
      </c>
      <c r="P36" s="33">
        <v>26.5</v>
      </c>
      <c r="Q36" s="31"/>
      <c r="R36" s="32">
        <f>SUM(R35)</f>
        <v>8320000</v>
      </c>
    </row>
    <row r="37" spans="1:18" ht="15.6" x14ac:dyDescent="0.3">
      <c r="A37" s="35">
        <v>46067</v>
      </c>
      <c r="B37" s="17" t="s">
        <v>64</v>
      </c>
      <c r="I37" s="41">
        <v>10</v>
      </c>
      <c r="N37" s="44">
        <v>10</v>
      </c>
      <c r="Q37" s="27" t="s">
        <v>26</v>
      </c>
      <c r="R37" s="28">
        <v>6200000</v>
      </c>
    </row>
    <row r="38" spans="1:18" ht="15.6" x14ac:dyDescent="0.3">
      <c r="A38" s="35">
        <v>46067</v>
      </c>
      <c r="B38" s="17" t="s">
        <v>65</v>
      </c>
      <c r="C38" s="50">
        <v>30</v>
      </c>
      <c r="H38" s="40">
        <v>100</v>
      </c>
      <c r="N38" s="44">
        <v>130</v>
      </c>
      <c r="Q38" s="27" t="s">
        <v>26</v>
      </c>
      <c r="R38" s="28">
        <f>30*590000+58000000</f>
        <v>75700000</v>
      </c>
    </row>
    <row r="39" spans="1:18" s="34" customFormat="1" x14ac:dyDescent="0.3">
      <c r="O39" s="34">
        <v>140</v>
      </c>
      <c r="P39" s="34">
        <v>176.5</v>
      </c>
      <c r="Q39" s="51"/>
      <c r="R39" s="52">
        <f>SUM(R37:R38)</f>
        <v>81900000</v>
      </c>
    </row>
    <row r="40" spans="1:18" ht="15.6" x14ac:dyDescent="0.3">
      <c r="A40" s="35">
        <v>46068</v>
      </c>
      <c r="B40" s="17" t="s">
        <v>64</v>
      </c>
      <c r="H40" s="40">
        <v>120</v>
      </c>
      <c r="N40" s="44">
        <v>120</v>
      </c>
      <c r="Q40" s="27" t="s">
        <v>26</v>
      </c>
      <c r="R40" s="28">
        <f>120*580000</f>
        <v>69600000</v>
      </c>
    </row>
    <row r="41" spans="1:18" s="33" customFormat="1" x14ac:dyDescent="0.3">
      <c r="O41" s="33">
        <v>120</v>
      </c>
      <c r="P41" s="33">
        <v>130.5</v>
      </c>
      <c r="Q41" s="31"/>
      <c r="R41" s="32">
        <f>SUM(R40)</f>
        <v>69600000</v>
      </c>
    </row>
    <row r="42" spans="1:18" ht="15.6" x14ac:dyDescent="0.3">
      <c r="A42" s="35">
        <v>16</v>
      </c>
      <c r="B42" s="17" t="s">
        <v>59</v>
      </c>
      <c r="F42" s="38">
        <v>190</v>
      </c>
      <c r="N42" s="44">
        <v>190</v>
      </c>
      <c r="Q42" s="27" t="s">
        <v>26</v>
      </c>
      <c r="R42" s="28">
        <f>190*520000</f>
        <v>98800000</v>
      </c>
    </row>
    <row r="43" spans="1:18" ht="15.6" x14ac:dyDescent="0.3">
      <c r="A43" s="35">
        <v>46069</v>
      </c>
      <c r="B43" s="74" t="s">
        <v>66</v>
      </c>
      <c r="F43" s="38">
        <v>23</v>
      </c>
      <c r="G43" s="39">
        <v>20</v>
      </c>
      <c r="N43" s="44">
        <v>43</v>
      </c>
      <c r="Q43" s="27" t="s">
        <v>67</v>
      </c>
      <c r="R43" s="28">
        <f>23*520000+20*560000</f>
        <v>23160000</v>
      </c>
    </row>
    <row r="44" spans="1:18" s="73" customFormat="1" ht="15.6" x14ac:dyDescent="0.3">
      <c r="A44" s="75">
        <v>46069</v>
      </c>
      <c r="B44" s="17" t="s">
        <v>64</v>
      </c>
      <c r="C44" s="69"/>
      <c r="D44" s="18"/>
      <c r="E44" s="19"/>
      <c r="F44" s="20"/>
      <c r="G44" s="21"/>
      <c r="H44" s="22"/>
      <c r="I44" s="23">
        <v>36</v>
      </c>
      <c r="J44" s="24"/>
      <c r="K44" s="24"/>
      <c r="L44" s="24"/>
      <c r="M44" s="25"/>
      <c r="N44" s="26">
        <v>36</v>
      </c>
      <c r="O44" s="26"/>
      <c r="P44" s="70"/>
      <c r="Q44" s="71" t="s">
        <v>26</v>
      </c>
      <c r="R44" s="72">
        <f>36*620000</f>
        <v>22320000</v>
      </c>
    </row>
    <row r="45" spans="1:18" s="34" customFormat="1" x14ac:dyDescent="0.3">
      <c r="O45" s="34">
        <v>269</v>
      </c>
      <c r="P45" s="34">
        <v>297</v>
      </c>
      <c r="Q45" s="51"/>
      <c r="R45" s="52">
        <f>SUM(R42:R44)</f>
        <v>144280000</v>
      </c>
    </row>
    <row r="46" spans="1:18" ht="15.6" x14ac:dyDescent="0.3">
      <c r="A46" s="35">
        <v>46070</v>
      </c>
      <c r="B46" s="17" t="s">
        <v>64</v>
      </c>
      <c r="I46" s="41">
        <v>12</v>
      </c>
      <c r="N46" s="44">
        <v>12</v>
      </c>
      <c r="Q46" s="27" t="s">
        <v>40</v>
      </c>
      <c r="R46" s="28">
        <f>620000*12</f>
        <v>7440000</v>
      </c>
    </row>
    <row r="47" spans="1:18" s="33" customFormat="1" x14ac:dyDescent="0.3">
      <c r="B47" s="48"/>
      <c r="O47" s="33">
        <v>12</v>
      </c>
      <c r="P47" s="33">
        <v>22.5</v>
      </c>
      <c r="Q47" s="31"/>
      <c r="R47" s="32"/>
    </row>
    <row r="48" spans="1:18" ht="15.6" x14ac:dyDescent="0.3">
      <c r="A48" s="35">
        <v>46071</v>
      </c>
      <c r="B48" s="17" t="s">
        <v>64</v>
      </c>
      <c r="H48" s="40">
        <v>140</v>
      </c>
      <c r="N48" s="44">
        <v>140</v>
      </c>
      <c r="Q48" s="27" t="s">
        <v>40</v>
      </c>
      <c r="R48" s="28">
        <f>580000*140</f>
        <v>81200000</v>
      </c>
    </row>
    <row r="49" spans="1:18" ht="15.6" x14ac:dyDescent="0.3">
      <c r="A49" s="35">
        <v>46071</v>
      </c>
      <c r="B49" s="17" t="s">
        <v>70</v>
      </c>
      <c r="H49" s="40">
        <v>72</v>
      </c>
      <c r="N49" s="44">
        <v>72</v>
      </c>
      <c r="Q49" s="27" t="s">
        <v>40</v>
      </c>
      <c r="R49" s="28">
        <f>72*580000</f>
        <v>41760000</v>
      </c>
    </row>
    <row r="50" spans="1:18" ht="15.6" x14ac:dyDescent="0.3">
      <c r="A50" s="35">
        <v>46071</v>
      </c>
      <c r="B50" s="17" t="s">
        <v>59</v>
      </c>
      <c r="F50" s="38">
        <v>26</v>
      </c>
      <c r="N50" s="44">
        <v>26</v>
      </c>
      <c r="Q50" s="27" t="s">
        <v>40</v>
      </c>
      <c r="R50" s="28">
        <f>520000*26</f>
        <v>13520000</v>
      </c>
    </row>
    <row r="51" spans="1:18" s="33" customFormat="1" x14ac:dyDescent="0.3">
      <c r="A51" s="53"/>
      <c r="O51" s="33">
        <v>238</v>
      </c>
      <c r="P51" s="33">
        <v>248.5</v>
      </c>
      <c r="Q51" s="31"/>
      <c r="R51" s="32">
        <f>SUM(R48:R50)</f>
        <v>136480000</v>
      </c>
    </row>
    <row r="52" spans="1:18" ht="15.6" x14ac:dyDescent="0.3">
      <c r="A52" s="35">
        <v>46072</v>
      </c>
      <c r="B52" s="17" t="s">
        <v>70</v>
      </c>
      <c r="H52" s="40">
        <v>81</v>
      </c>
      <c r="N52" s="44">
        <v>81</v>
      </c>
      <c r="Q52" s="27" t="s">
        <v>26</v>
      </c>
      <c r="R52" s="28">
        <f>81*580000</f>
        <v>46980000</v>
      </c>
    </row>
    <row r="53" spans="1:18" ht="15.6" x14ac:dyDescent="0.3">
      <c r="A53" s="35">
        <v>46072</v>
      </c>
      <c r="B53" s="17" t="s">
        <v>59</v>
      </c>
      <c r="F53" s="38">
        <v>16</v>
      </c>
      <c r="N53" s="44">
        <v>16</v>
      </c>
      <c r="Q53" s="27" t="s">
        <v>26</v>
      </c>
      <c r="R53" s="28">
        <f>16*520000</f>
        <v>8320000</v>
      </c>
    </row>
    <row r="54" spans="1:18" s="33" customFormat="1" x14ac:dyDescent="0.3">
      <c r="O54" s="33">
        <v>97</v>
      </c>
      <c r="P54" s="33">
        <v>101</v>
      </c>
      <c r="Q54" s="31"/>
      <c r="R54" s="32">
        <f>SUM(R52:R53)</f>
        <v>55300000</v>
      </c>
    </row>
    <row r="55" spans="1:18" ht="15.6" x14ac:dyDescent="0.3">
      <c r="A55" s="35">
        <v>46073</v>
      </c>
      <c r="B55" s="17" t="s">
        <v>64</v>
      </c>
      <c r="H55" s="40">
        <v>120</v>
      </c>
      <c r="I55" s="41">
        <v>26</v>
      </c>
      <c r="N55" s="44">
        <v>146</v>
      </c>
      <c r="Q55" s="27" t="s">
        <v>26</v>
      </c>
      <c r="R55" s="28">
        <f>120*580000+26*620000</f>
        <v>85720000</v>
      </c>
    </row>
    <row r="56" spans="1:18" s="33" customFormat="1" x14ac:dyDescent="0.3">
      <c r="B56" s="48"/>
      <c r="O56" s="33">
        <v>146</v>
      </c>
      <c r="P56" s="33">
        <v>156</v>
      </c>
      <c r="Q56" s="31"/>
      <c r="R56" s="32">
        <f>SUM(R55)</f>
        <v>85720000</v>
      </c>
    </row>
    <row r="57" spans="1:18" ht="15.6" x14ac:dyDescent="0.3">
      <c r="A57" s="35">
        <v>46075</v>
      </c>
      <c r="B57" s="17" t="s">
        <v>70</v>
      </c>
      <c r="I57" s="41">
        <v>53</v>
      </c>
      <c r="N57" s="44">
        <v>53</v>
      </c>
      <c r="Q57" s="27" t="s">
        <v>73</v>
      </c>
      <c r="R57" s="28">
        <f>53*620000</f>
        <v>32860000</v>
      </c>
    </row>
    <row r="58" spans="1:18" ht="15.6" x14ac:dyDescent="0.3">
      <c r="A58" s="35">
        <v>46075</v>
      </c>
      <c r="B58" s="17" t="s">
        <v>64</v>
      </c>
      <c r="I58" s="41">
        <v>30</v>
      </c>
      <c r="N58" s="44">
        <v>30</v>
      </c>
      <c r="Q58" s="27" t="s">
        <v>26</v>
      </c>
      <c r="R58" s="28">
        <f>620000*30</f>
        <v>18600000</v>
      </c>
    </row>
    <row r="59" spans="1:18" ht="15.6" x14ac:dyDescent="0.3">
      <c r="A59" s="35">
        <v>46075</v>
      </c>
      <c r="B59" s="17" t="s">
        <v>59</v>
      </c>
      <c r="F59" s="38">
        <v>16</v>
      </c>
      <c r="N59" s="44">
        <v>16</v>
      </c>
      <c r="Q59" s="27" t="s">
        <v>26</v>
      </c>
      <c r="R59" s="28">
        <f>16*520000</f>
        <v>8320000</v>
      </c>
    </row>
    <row r="60" spans="1:18" x14ac:dyDescent="0.3">
      <c r="A60" s="35">
        <v>46075</v>
      </c>
      <c r="B60" s="50" t="s">
        <v>74</v>
      </c>
      <c r="I60" s="41">
        <v>13</v>
      </c>
      <c r="N60" s="44">
        <v>13</v>
      </c>
      <c r="Q60" s="27" t="s">
        <v>26</v>
      </c>
      <c r="R60" s="28">
        <f>13*620000</f>
        <v>8060000</v>
      </c>
    </row>
    <row r="61" spans="1:18" s="33" customFormat="1" x14ac:dyDescent="0.3">
      <c r="O61" s="33">
        <v>112</v>
      </c>
      <c r="P61" s="33">
        <v>193</v>
      </c>
      <c r="Q61" s="31"/>
      <c r="R61" s="32">
        <f>SUM(R57:R60)</f>
        <v>67840000</v>
      </c>
    </row>
    <row r="62" spans="1:18" ht="15.6" x14ac:dyDescent="0.3">
      <c r="A62" s="35">
        <v>46076</v>
      </c>
      <c r="B62" s="17" t="s">
        <v>64</v>
      </c>
      <c r="H62" s="40">
        <v>120</v>
      </c>
      <c r="I62" s="41">
        <v>16</v>
      </c>
      <c r="N62" s="44">
        <v>136</v>
      </c>
      <c r="Q62" s="27" t="s">
        <v>26</v>
      </c>
      <c r="R62" s="28">
        <f>120*580000+16*620000</f>
        <v>79520000</v>
      </c>
    </row>
    <row r="63" spans="1:18" ht="15.6" x14ac:dyDescent="0.3">
      <c r="A63" s="35">
        <v>46076</v>
      </c>
      <c r="B63" s="17" t="s">
        <v>70</v>
      </c>
      <c r="I63" s="41">
        <v>18</v>
      </c>
      <c r="N63" s="44">
        <v>18</v>
      </c>
      <c r="Q63" s="27" t="s">
        <v>26</v>
      </c>
      <c r="R63" s="28">
        <f>18*620000</f>
        <v>11160000</v>
      </c>
    </row>
    <row r="64" spans="1:18" ht="15.6" x14ac:dyDescent="0.3">
      <c r="A64" s="35">
        <v>46076</v>
      </c>
      <c r="B64" s="17" t="s">
        <v>35</v>
      </c>
      <c r="I64" s="41">
        <v>240</v>
      </c>
      <c r="N64" s="44">
        <v>240</v>
      </c>
      <c r="Q64" s="27" t="s">
        <v>26</v>
      </c>
      <c r="R64" s="28">
        <f>240*620000</f>
        <v>148800000</v>
      </c>
    </row>
    <row r="65" spans="1:18" s="33" customFormat="1" x14ac:dyDescent="0.3">
      <c r="O65" s="33">
        <v>394</v>
      </c>
      <c r="P65" s="33">
        <v>415.5</v>
      </c>
      <c r="Q65" s="31"/>
      <c r="R65" s="32">
        <f>SUM(R62:R64)</f>
        <v>239480000</v>
      </c>
    </row>
    <row r="66" spans="1:18" ht="15.6" x14ac:dyDescent="0.3">
      <c r="A66" s="35">
        <v>46077</v>
      </c>
      <c r="B66" s="17" t="s">
        <v>70</v>
      </c>
      <c r="I66" s="41">
        <v>13</v>
      </c>
      <c r="N66" s="44">
        <v>13</v>
      </c>
      <c r="Q66" s="27" t="s">
        <v>26</v>
      </c>
      <c r="R66" s="28">
        <f>620000*13</f>
        <v>8060000</v>
      </c>
    </row>
    <row r="67" spans="1:18" x14ac:dyDescent="0.3">
      <c r="A67" s="35">
        <v>46077</v>
      </c>
      <c r="B67" s="47" t="s">
        <v>75</v>
      </c>
      <c r="E67" s="37">
        <v>8</v>
      </c>
      <c r="N67" s="44">
        <v>8</v>
      </c>
      <c r="Q67" s="27" t="s">
        <v>26</v>
      </c>
      <c r="R67" s="28">
        <f>490000*8</f>
        <v>3920000</v>
      </c>
    </row>
    <row r="68" spans="1:18" x14ac:dyDescent="0.3">
      <c r="A68" s="35">
        <v>46077</v>
      </c>
      <c r="B68" s="59" t="s">
        <v>76</v>
      </c>
      <c r="G68" s="39">
        <v>22</v>
      </c>
      <c r="N68" s="44">
        <v>22</v>
      </c>
      <c r="Q68" s="27" t="s">
        <v>26</v>
      </c>
      <c r="R68" s="28">
        <f>22*560000</f>
        <v>12320000</v>
      </c>
    </row>
    <row r="69" spans="1:18" s="33" customFormat="1" ht="15.6" x14ac:dyDescent="0.3">
      <c r="A69" s="53"/>
      <c r="B69" s="67"/>
      <c r="O69" s="33">
        <v>43</v>
      </c>
      <c r="P69" s="33">
        <v>72.5</v>
      </c>
      <c r="Q69" s="31"/>
      <c r="R69" s="32">
        <f>SUM(R66:R68)</f>
        <v>24300000</v>
      </c>
    </row>
    <row r="70" spans="1:18" x14ac:dyDescent="0.3">
      <c r="A70" s="35">
        <v>46078</v>
      </c>
      <c r="B70" s="59" t="s">
        <v>76</v>
      </c>
      <c r="D70" s="36">
        <v>5</v>
      </c>
      <c r="N70" s="44">
        <v>5</v>
      </c>
      <c r="Q70" s="27" t="s">
        <v>26</v>
      </c>
      <c r="R70" s="28">
        <f>470000*5</f>
        <v>2350000</v>
      </c>
    </row>
    <row r="71" spans="1:18" x14ac:dyDescent="0.3">
      <c r="A71" s="35">
        <v>46078</v>
      </c>
      <c r="B71" s="50" t="s">
        <v>77</v>
      </c>
      <c r="H71" s="40">
        <v>36</v>
      </c>
      <c r="N71" s="44">
        <v>36</v>
      </c>
      <c r="Q71" s="27" t="s">
        <v>26</v>
      </c>
      <c r="R71" s="28">
        <f>36*580000</f>
        <v>20880000</v>
      </c>
    </row>
    <row r="72" spans="1:18" ht="15.6" x14ac:dyDescent="0.3">
      <c r="A72" s="35">
        <v>46078</v>
      </c>
      <c r="B72" s="17" t="s">
        <v>70</v>
      </c>
      <c r="I72" s="41">
        <v>23</v>
      </c>
      <c r="N72" s="44">
        <v>23</v>
      </c>
      <c r="Q72" s="27" t="s">
        <v>26</v>
      </c>
      <c r="R72" s="28">
        <f>23*620000</f>
        <v>14260000</v>
      </c>
    </row>
    <row r="73" spans="1:18" x14ac:dyDescent="0.3">
      <c r="A73" s="35">
        <v>46078</v>
      </c>
      <c r="B73" s="50" t="s">
        <v>74</v>
      </c>
      <c r="H73" s="40">
        <v>47</v>
      </c>
      <c r="N73" s="44">
        <v>47</v>
      </c>
      <c r="Q73" s="27" t="s">
        <v>26</v>
      </c>
      <c r="R73" s="28">
        <f>47*580000</f>
        <v>27260000</v>
      </c>
    </row>
    <row r="74" spans="1:18" s="33" customFormat="1" x14ac:dyDescent="0.3">
      <c r="O74" s="33">
        <v>111</v>
      </c>
      <c r="P74" s="33">
        <v>128</v>
      </c>
      <c r="Q74" s="31"/>
      <c r="R74" s="32">
        <f>SUM(R70:R73)</f>
        <v>64750000</v>
      </c>
    </row>
    <row r="75" spans="1:18" ht="15.6" x14ac:dyDescent="0.3">
      <c r="A75" s="35">
        <v>46079</v>
      </c>
      <c r="B75" s="17" t="s">
        <v>64</v>
      </c>
      <c r="G75" s="39">
        <v>11</v>
      </c>
      <c r="N75" s="44">
        <v>11</v>
      </c>
      <c r="Q75" s="27" t="s">
        <v>26</v>
      </c>
      <c r="R75" s="28">
        <f>11*560000</f>
        <v>6160000</v>
      </c>
    </row>
    <row r="76" spans="1:18" x14ac:dyDescent="0.3">
      <c r="A76" s="35">
        <v>46079</v>
      </c>
      <c r="B76" s="50" t="s">
        <v>74</v>
      </c>
      <c r="G76" s="39">
        <v>64</v>
      </c>
      <c r="N76" s="44">
        <v>64</v>
      </c>
      <c r="Q76" s="27" t="s">
        <v>26</v>
      </c>
      <c r="R76" s="28">
        <f>64*560000</f>
        <v>35840000</v>
      </c>
    </row>
    <row r="77" spans="1:18" s="33" customFormat="1" x14ac:dyDescent="0.3">
      <c r="O77" s="33">
        <v>90</v>
      </c>
      <c r="P77" s="33">
        <v>99.5</v>
      </c>
      <c r="Q77" s="31"/>
      <c r="R77" s="32">
        <f>SUM(R75:R76)</f>
        <v>42000000</v>
      </c>
    </row>
    <row r="79" spans="1:18" x14ac:dyDescent="0.3">
      <c r="A79" s="35"/>
    </row>
    <row r="81" spans="1:19" ht="15.6" x14ac:dyDescent="0.3">
      <c r="B81" s="49"/>
    </row>
    <row r="84" spans="1:19" s="33" customFormat="1" x14ac:dyDescent="0.3">
      <c r="Q84" s="31"/>
      <c r="R84" s="32"/>
    </row>
    <row r="85" spans="1:19" ht="15.6" x14ac:dyDescent="0.3">
      <c r="A85" s="35"/>
      <c r="B85" s="49"/>
    </row>
    <row r="87" spans="1:19" x14ac:dyDescent="0.3">
      <c r="B87" s="47"/>
    </row>
    <row r="88" spans="1:19" x14ac:dyDescent="0.3">
      <c r="B88" s="47"/>
    </row>
    <row r="90" spans="1:19" x14ac:dyDescent="0.3">
      <c r="S90" s="29">
        <v>9800000</v>
      </c>
    </row>
    <row r="94" spans="1:19" x14ac:dyDescent="0.3">
      <c r="A94" s="35"/>
    </row>
    <row r="95" spans="1:19" ht="15.6" x14ac:dyDescent="0.3">
      <c r="B95" s="49"/>
    </row>
    <row r="96" spans="1:19" s="34" customFormat="1" x14ac:dyDescent="0.3">
      <c r="Q96" s="51"/>
      <c r="R96" s="52"/>
    </row>
    <row r="97" spans="1:19" ht="15.6" x14ac:dyDescent="0.3">
      <c r="A97" s="35"/>
      <c r="B97" s="49"/>
    </row>
    <row r="100" spans="1:19" x14ac:dyDescent="0.3">
      <c r="A100" s="35"/>
      <c r="B100" s="47"/>
      <c r="S100" s="29" t="s">
        <v>21</v>
      </c>
    </row>
    <row r="101" spans="1:19" x14ac:dyDescent="0.3">
      <c r="A101" s="35"/>
    </row>
    <row r="102" spans="1:19" x14ac:dyDescent="0.3">
      <c r="B102" s="47"/>
    </row>
    <row r="103" spans="1:19" x14ac:dyDescent="0.3">
      <c r="S103" s="29">
        <v>215600000</v>
      </c>
    </row>
    <row r="106" spans="1:19" x14ac:dyDescent="0.3">
      <c r="S106" s="29" t="s">
        <v>22</v>
      </c>
    </row>
    <row r="107" spans="1:19" s="34" customFormat="1" x14ac:dyDescent="0.3">
      <c r="Q107" s="51"/>
      <c r="R107" s="52"/>
    </row>
    <row r="108" spans="1:19" x14ac:dyDescent="0.3">
      <c r="A108" s="35"/>
      <c r="B108" s="47"/>
    </row>
    <row r="109" spans="1:19" x14ac:dyDescent="0.3">
      <c r="B109" s="47"/>
    </row>
    <row r="113" spans="1:18" ht="15.6" x14ac:dyDescent="0.3">
      <c r="B113" s="49"/>
    </row>
    <row r="114" spans="1:18" x14ac:dyDescent="0.3">
      <c r="A114" s="35"/>
    </row>
    <row r="115" spans="1:18" s="33" customFormat="1" x14ac:dyDescent="0.3">
      <c r="Q115" s="31"/>
      <c r="R115" s="32"/>
    </row>
    <row r="116" spans="1:18" x14ac:dyDescent="0.3">
      <c r="A116" s="35"/>
    </row>
    <row r="117" spans="1:18" x14ac:dyDescent="0.3">
      <c r="B117" s="47"/>
    </row>
    <row r="118" spans="1:18" x14ac:dyDescent="0.3">
      <c r="B118" s="47"/>
    </row>
    <row r="121" spans="1:18" x14ac:dyDescent="0.3">
      <c r="A121" s="35"/>
      <c r="B121" s="47"/>
    </row>
    <row r="125" spans="1:18" ht="15.6" x14ac:dyDescent="0.3">
      <c r="B125" s="49"/>
    </row>
    <row r="126" spans="1:18" s="33" customFormat="1" x14ac:dyDescent="0.3">
      <c r="Q126" s="31"/>
      <c r="R126" s="32"/>
    </row>
    <row r="127" spans="1:18" x14ac:dyDescent="0.3">
      <c r="A127" s="35"/>
      <c r="B127" s="47"/>
    </row>
    <row r="129" spans="1:18" s="34" customFormat="1" x14ac:dyDescent="0.3">
      <c r="Q129" s="51"/>
      <c r="R129" s="52"/>
    </row>
    <row r="130" spans="1:18" x14ac:dyDescent="0.3">
      <c r="A130" s="35"/>
      <c r="B130" s="47"/>
    </row>
    <row r="132" spans="1:18" ht="15.6" x14ac:dyDescent="0.3">
      <c r="B132" s="49"/>
    </row>
    <row r="135" spans="1:18" x14ac:dyDescent="0.3">
      <c r="A135" s="35"/>
      <c r="B135" s="47"/>
    </row>
    <row r="138" spans="1:18" x14ac:dyDescent="0.3">
      <c r="A138" s="35"/>
    </row>
    <row r="141" spans="1:18" x14ac:dyDescent="0.3">
      <c r="B141" s="47"/>
    </row>
    <row r="142" spans="1:18" x14ac:dyDescent="0.3">
      <c r="B142" s="47"/>
    </row>
    <row r="146" spans="1:18" x14ac:dyDescent="0.3">
      <c r="A146" s="35"/>
    </row>
    <row r="147" spans="1:18" x14ac:dyDescent="0.3">
      <c r="A147" s="35"/>
    </row>
    <row r="148" spans="1:18" s="33" customFormat="1" x14ac:dyDescent="0.3">
      <c r="Q148" s="31"/>
      <c r="R148" s="32"/>
    </row>
    <row r="149" spans="1:18" x14ac:dyDescent="0.3">
      <c r="A149" s="35"/>
      <c r="B149" s="47"/>
    </row>
    <row r="150" spans="1:18" ht="15.6" x14ac:dyDescent="0.3">
      <c r="B150" s="49"/>
    </row>
    <row r="152" spans="1:18" x14ac:dyDescent="0.3">
      <c r="A152" s="35"/>
    </row>
    <row r="155" spans="1:18" x14ac:dyDescent="0.3">
      <c r="B155" s="47"/>
    </row>
    <row r="156" spans="1:18" x14ac:dyDescent="0.3">
      <c r="B156" s="47"/>
    </row>
    <row r="157" spans="1:18" x14ac:dyDescent="0.3">
      <c r="B157" s="59"/>
    </row>
    <row r="159" spans="1:18" s="34" customFormat="1" x14ac:dyDescent="0.3">
      <c r="Q159" s="51"/>
      <c r="R159" s="52"/>
    </row>
    <row r="160" spans="1:18" x14ac:dyDescent="0.3">
      <c r="A160" s="35"/>
    </row>
    <row r="164" spans="1:18" ht="15.6" x14ac:dyDescent="0.3">
      <c r="B164" s="49"/>
    </row>
    <row r="167" spans="1:18" x14ac:dyDescent="0.3">
      <c r="A167" s="35"/>
      <c r="B167" s="47"/>
    </row>
    <row r="170" spans="1:18" x14ac:dyDescent="0.3">
      <c r="B170" s="47"/>
    </row>
    <row r="171" spans="1:18" x14ac:dyDescent="0.3">
      <c r="B171" s="59"/>
    </row>
    <row r="172" spans="1:18" s="34" customFormat="1" x14ac:dyDescent="0.3">
      <c r="Q172" s="51"/>
      <c r="R172" s="52"/>
    </row>
    <row r="173" spans="1:18" x14ac:dyDescent="0.3">
      <c r="A173" s="35"/>
      <c r="B173" s="47"/>
    </row>
    <row r="177" spans="1:18" ht="15.6" x14ac:dyDescent="0.3">
      <c r="B177" s="49"/>
    </row>
    <row r="178" spans="1:18" x14ac:dyDescent="0.3">
      <c r="A178" s="35"/>
    </row>
    <row r="181" spans="1:18" x14ac:dyDescent="0.3">
      <c r="B181" s="47"/>
      <c r="Q181" s="60"/>
    </row>
    <row r="185" spans="1:18" s="33" customFormat="1" x14ac:dyDescent="0.3">
      <c r="Q185" s="31"/>
      <c r="R185" s="32"/>
    </row>
    <row r="186" spans="1:18" x14ac:dyDescent="0.3">
      <c r="A186" s="35"/>
    </row>
    <row r="188" spans="1:18" x14ac:dyDescent="0.3">
      <c r="A188" s="35"/>
      <c r="B188" s="47"/>
    </row>
    <row r="189" spans="1:18" x14ac:dyDescent="0.3">
      <c r="A189" s="35"/>
    </row>
    <row r="192" spans="1:18" ht="15.6" x14ac:dyDescent="0.3">
      <c r="A192" s="35"/>
      <c r="B192" s="49"/>
    </row>
    <row r="194" spans="1:18" x14ac:dyDescent="0.3">
      <c r="A194" s="35"/>
      <c r="B194" s="47"/>
    </row>
    <row r="199" spans="1:18" ht="15.6" x14ac:dyDescent="0.3">
      <c r="B199" s="49"/>
    </row>
    <row r="200" spans="1:18" s="33" customFormat="1" x14ac:dyDescent="0.3">
      <c r="Q200" s="31"/>
      <c r="R200" s="32"/>
    </row>
    <row r="201" spans="1:18" x14ac:dyDescent="0.3">
      <c r="A201" s="35"/>
      <c r="B201" s="47"/>
    </row>
    <row r="205" spans="1:18" x14ac:dyDescent="0.3">
      <c r="B205" s="47"/>
    </row>
    <row r="211" spans="1:18" x14ac:dyDescent="0.3">
      <c r="A211" s="35"/>
    </row>
    <row r="212" spans="1:18" ht="15.6" x14ac:dyDescent="0.3">
      <c r="A212" s="35"/>
      <c r="B212" s="49"/>
    </row>
    <row r="213" spans="1:18" ht="15.6" x14ac:dyDescent="0.3">
      <c r="B213" s="49"/>
    </row>
    <row r="216" spans="1:18" s="33" customFormat="1" x14ac:dyDescent="0.3">
      <c r="Q216" s="31"/>
      <c r="R216" s="32"/>
    </row>
    <row r="217" spans="1:18" x14ac:dyDescent="0.3">
      <c r="A217" s="35"/>
    </row>
    <row r="218" spans="1:18" x14ac:dyDescent="0.3">
      <c r="B218" s="47"/>
    </row>
    <row r="222" spans="1:18" x14ac:dyDescent="0.3">
      <c r="A222" s="35"/>
      <c r="B222" s="47"/>
    </row>
    <row r="225" spans="1:20" ht="15.6" x14ac:dyDescent="0.3">
      <c r="B225" s="49"/>
    </row>
    <row r="226" spans="1:20" x14ac:dyDescent="0.3">
      <c r="S226" s="58">
        <v>1800000</v>
      </c>
      <c r="T226" s="29" t="s">
        <v>20</v>
      </c>
    </row>
    <row r="230" spans="1:20" s="33" customFormat="1" ht="18" customHeight="1" x14ac:dyDescent="0.3">
      <c r="Q230" s="31"/>
      <c r="R230" s="32"/>
    </row>
    <row r="231" spans="1:20" x14ac:dyDescent="0.3">
      <c r="A231" s="35"/>
    </row>
    <row r="233" spans="1:20" x14ac:dyDescent="0.3">
      <c r="B233" s="47"/>
    </row>
    <row r="236" spans="1:20" x14ac:dyDescent="0.3">
      <c r="A236" s="35"/>
    </row>
    <row r="238" spans="1:20" x14ac:dyDescent="0.3">
      <c r="B238" s="47"/>
    </row>
    <row r="239" spans="1:20" ht="15.6" x14ac:dyDescent="0.3">
      <c r="B239" s="49"/>
    </row>
    <row r="242" spans="1:18" s="33" customFormat="1" x14ac:dyDescent="0.3">
      <c r="Q242" s="31"/>
      <c r="R242" s="32"/>
    </row>
    <row r="243" spans="1:18" x14ac:dyDescent="0.3">
      <c r="A243" s="35"/>
    </row>
    <row r="246" spans="1:18" ht="15.6" x14ac:dyDescent="0.3">
      <c r="B246" s="49"/>
    </row>
    <row r="247" spans="1:18" ht="15.6" x14ac:dyDescent="0.3">
      <c r="B247" s="49"/>
    </row>
    <row r="250" spans="1:18" x14ac:dyDescent="0.3">
      <c r="A250" s="35"/>
      <c r="B250" s="47"/>
    </row>
    <row r="251" spans="1:18" s="34" customFormat="1" x14ac:dyDescent="0.3">
      <c r="Q251" s="51"/>
      <c r="R251" s="52"/>
    </row>
    <row r="252" spans="1:18" x14ac:dyDescent="0.3">
      <c r="A252" s="35"/>
    </row>
    <row r="253" spans="1:18" ht="15.6" x14ac:dyDescent="0.3">
      <c r="A253" s="35"/>
      <c r="B253" s="49"/>
    </row>
    <row r="254" spans="1:18" x14ac:dyDescent="0.3">
      <c r="A254" s="35"/>
    </row>
    <row r="255" spans="1:18" x14ac:dyDescent="0.3">
      <c r="A255" s="35"/>
      <c r="B255" s="47"/>
    </row>
    <row r="256" spans="1:18" x14ac:dyDescent="0.3">
      <c r="A256" s="35"/>
    </row>
    <row r="257" spans="1:18" x14ac:dyDescent="0.3">
      <c r="A257" s="35"/>
    </row>
    <row r="258" spans="1:18" x14ac:dyDescent="0.3">
      <c r="A258" s="35"/>
    </row>
    <row r="259" spans="1:18" x14ac:dyDescent="0.3">
      <c r="A259" s="35"/>
    </row>
    <row r="260" spans="1:18" x14ac:dyDescent="0.3">
      <c r="A260" s="35"/>
    </row>
    <row r="261" spans="1:18" x14ac:dyDescent="0.3">
      <c r="A261" s="35"/>
    </row>
    <row r="262" spans="1:18" x14ac:dyDescent="0.3">
      <c r="A262" s="35"/>
    </row>
    <row r="263" spans="1:18" s="33" customFormat="1" x14ac:dyDescent="0.3">
      <c r="Q263" s="31"/>
      <c r="R263" s="32"/>
    </row>
    <row r="264" spans="1:18" x14ac:dyDescent="0.3">
      <c r="A264" s="35"/>
    </row>
    <row r="265" spans="1:18" x14ac:dyDescent="0.3">
      <c r="A265" s="35"/>
    </row>
    <row r="266" spans="1:18" ht="15.6" x14ac:dyDescent="0.3">
      <c r="A266" s="35"/>
      <c r="B266" s="49"/>
    </row>
    <row r="267" spans="1:18" x14ac:dyDescent="0.3">
      <c r="A267" s="35"/>
    </row>
    <row r="268" spans="1:18" x14ac:dyDescent="0.3">
      <c r="A268" s="35"/>
    </row>
    <row r="269" spans="1:18" x14ac:dyDescent="0.3">
      <c r="A269" s="35"/>
    </row>
    <row r="270" spans="1:18" x14ac:dyDescent="0.3">
      <c r="A270" s="35"/>
    </row>
    <row r="271" spans="1:18" x14ac:dyDescent="0.3">
      <c r="A271" s="35"/>
    </row>
    <row r="272" spans="1:18" x14ac:dyDescent="0.3">
      <c r="A272" s="35"/>
    </row>
    <row r="273" spans="1:18" x14ac:dyDescent="0.3">
      <c r="A273" s="35"/>
    </row>
    <row r="274" spans="1:18" x14ac:dyDescent="0.3">
      <c r="A274" s="35"/>
    </row>
    <row r="275" spans="1:18" s="33" customFormat="1" x14ac:dyDescent="0.3">
      <c r="Q275" s="31"/>
      <c r="R275" s="32"/>
    </row>
    <row r="276" spans="1:18" x14ac:dyDescent="0.3">
      <c r="A276" s="35"/>
    </row>
    <row r="277" spans="1:18" x14ac:dyDescent="0.3">
      <c r="A277" s="35"/>
    </row>
    <row r="278" spans="1:18" x14ac:dyDescent="0.3">
      <c r="A278" s="35"/>
    </row>
    <row r="279" spans="1:18" x14ac:dyDescent="0.3">
      <c r="A279" s="35"/>
    </row>
    <row r="280" spans="1:18" x14ac:dyDescent="0.3">
      <c r="A280" s="35"/>
      <c r="B280" s="47"/>
    </row>
    <row r="281" spans="1:18" x14ac:dyDescent="0.3">
      <c r="A281" s="35"/>
    </row>
    <row r="282" spans="1:18" x14ac:dyDescent="0.3">
      <c r="A282" s="35"/>
    </row>
    <row r="283" spans="1:18" x14ac:dyDescent="0.3">
      <c r="A283" s="35"/>
    </row>
    <row r="284" spans="1:18" x14ac:dyDescent="0.3">
      <c r="A284" s="35"/>
    </row>
    <row r="285" spans="1:18" x14ac:dyDescent="0.3">
      <c r="A285" s="35"/>
    </row>
    <row r="286" spans="1:18" x14ac:dyDescent="0.3">
      <c r="A286" s="35"/>
    </row>
    <row r="287" spans="1:18" s="33" customFormat="1" x14ac:dyDescent="0.3">
      <c r="Q287" s="31"/>
      <c r="R287" s="32"/>
    </row>
    <row r="288" spans="1:18" x14ac:dyDescent="0.3">
      <c r="A288" s="35"/>
    </row>
    <row r="289" spans="1:18" x14ac:dyDescent="0.3">
      <c r="A289" s="35"/>
    </row>
    <row r="290" spans="1:18" x14ac:dyDescent="0.3">
      <c r="A290" s="35"/>
    </row>
    <row r="291" spans="1:18" x14ac:dyDescent="0.3">
      <c r="A291" s="35"/>
    </row>
    <row r="292" spans="1:18" x14ac:dyDescent="0.3">
      <c r="A292" s="35"/>
    </row>
    <row r="293" spans="1:18" x14ac:dyDescent="0.3">
      <c r="A293" s="35"/>
    </row>
    <row r="294" spans="1:18" s="33" customFormat="1" x14ac:dyDescent="0.3">
      <c r="B294" s="48"/>
      <c r="Q294" s="31"/>
      <c r="R294" s="32"/>
    </row>
    <row r="295" spans="1:18" x14ac:dyDescent="0.3">
      <c r="A295" s="35"/>
    </row>
    <row r="296" spans="1:18" x14ac:dyDescent="0.3">
      <c r="A296" s="35"/>
      <c r="B296" s="47"/>
    </row>
    <row r="297" spans="1:18" x14ac:dyDescent="0.3">
      <c r="A297" s="35"/>
    </row>
    <row r="298" spans="1:18" x14ac:dyDescent="0.3">
      <c r="A298" s="35"/>
    </row>
    <row r="299" spans="1:18" x14ac:dyDescent="0.3">
      <c r="A299" s="35"/>
    </row>
    <row r="300" spans="1:18" x14ac:dyDescent="0.3">
      <c r="A300" s="35"/>
    </row>
    <row r="301" spans="1:18" x14ac:dyDescent="0.3">
      <c r="A301" s="35"/>
    </row>
    <row r="302" spans="1:18" x14ac:dyDescent="0.3">
      <c r="A302" s="35"/>
    </row>
    <row r="303" spans="1:18" x14ac:dyDescent="0.3">
      <c r="A303" s="35"/>
    </row>
    <row r="304" spans="1:18" x14ac:dyDescent="0.3">
      <c r="A304" s="35"/>
      <c r="B304" s="47"/>
    </row>
    <row r="305" spans="1:18" s="33" customFormat="1" x14ac:dyDescent="0.3">
      <c r="Q305" s="31"/>
      <c r="R305" s="32"/>
    </row>
    <row r="306" spans="1:18" x14ac:dyDescent="0.3">
      <c r="A306" s="35"/>
    </row>
    <row r="307" spans="1:18" x14ac:dyDescent="0.3">
      <c r="A307" s="35"/>
    </row>
    <row r="308" spans="1:18" x14ac:dyDescent="0.3">
      <c r="A308" s="35"/>
    </row>
    <row r="309" spans="1:18" x14ac:dyDescent="0.3">
      <c r="A309" s="35"/>
    </row>
    <row r="310" spans="1:18" x14ac:dyDescent="0.3">
      <c r="A310" s="35"/>
    </row>
    <row r="311" spans="1:18" x14ac:dyDescent="0.3">
      <c r="A311" s="35"/>
    </row>
    <row r="312" spans="1:18" x14ac:dyDescent="0.3">
      <c r="A312" s="35"/>
    </row>
    <row r="313" spans="1:18" x14ac:dyDescent="0.3">
      <c r="A313" s="35"/>
    </row>
    <row r="314" spans="1:18" s="33" customFormat="1" x14ac:dyDescent="0.3">
      <c r="Q314" s="31"/>
      <c r="R314" s="32"/>
    </row>
    <row r="315" spans="1:18" x14ac:dyDescent="0.3">
      <c r="A315" s="35"/>
    </row>
    <row r="316" spans="1:18" x14ac:dyDescent="0.3">
      <c r="A316" s="35"/>
    </row>
    <row r="317" spans="1:18" x14ac:dyDescent="0.3">
      <c r="A317" s="35"/>
    </row>
    <row r="318" spans="1:18" x14ac:dyDescent="0.3">
      <c r="A318" s="35"/>
    </row>
    <row r="319" spans="1:18" x14ac:dyDescent="0.3">
      <c r="A319" s="35"/>
    </row>
    <row r="320" spans="1:18" x14ac:dyDescent="0.3">
      <c r="A320" s="35"/>
    </row>
    <row r="321" spans="1:19" x14ac:dyDescent="0.3">
      <c r="A321" s="35"/>
    </row>
    <row r="322" spans="1:19" x14ac:dyDescent="0.3">
      <c r="A322" s="35"/>
    </row>
    <row r="323" spans="1:19" x14ac:dyDescent="0.3">
      <c r="A323" s="35"/>
    </row>
    <row r="324" spans="1:19" x14ac:dyDescent="0.3">
      <c r="A324" s="35"/>
      <c r="B324" s="47"/>
    </row>
    <row r="325" spans="1:19" x14ac:dyDescent="0.3">
      <c r="A325" s="35"/>
    </row>
    <row r="326" spans="1:19" s="33" customFormat="1" x14ac:dyDescent="0.3">
      <c r="Q326" s="31"/>
      <c r="R326" s="32"/>
    </row>
    <row r="327" spans="1:19" x14ac:dyDescent="0.3">
      <c r="A327" s="35"/>
    </row>
    <row r="328" spans="1:19" x14ac:dyDescent="0.3">
      <c r="A328" s="35"/>
    </row>
    <row r="329" spans="1:19" ht="15.6" x14ac:dyDescent="0.3">
      <c r="A329" s="35"/>
      <c r="B329" s="49"/>
    </row>
    <row r="330" spans="1:19" x14ac:dyDescent="0.3">
      <c r="A330" s="35"/>
    </row>
    <row r="331" spans="1:19" x14ac:dyDescent="0.3">
      <c r="A331" s="35"/>
    </row>
    <row r="332" spans="1:19" x14ac:dyDescent="0.3">
      <c r="A332" s="35"/>
    </row>
    <row r="333" spans="1:19" x14ac:dyDescent="0.3">
      <c r="A333" s="35"/>
      <c r="S333" s="29" t="s">
        <v>23</v>
      </c>
    </row>
    <row r="334" spans="1:19" x14ac:dyDescent="0.3">
      <c r="A334" s="35"/>
    </row>
    <row r="335" spans="1:19" x14ac:dyDescent="0.3">
      <c r="A335" s="35"/>
    </row>
    <row r="336" spans="1:19" x14ac:dyDescent="0.3">
      <c r="A336" s="35"/>
    </row>
    <row r="337" spans="1:18" s="33" customFormat="1" x14ac:dyDescent="0.3">
      <c r="Q337" s="31"/>
      <c r="R337" s="32"/>
    </row>
    <row r="338" spans="1:18" x14ac:dyDescent="0.3">
      <c r="A338" s="35"/>
    </row>
    <row r="339" spans="1:18" x14ac:dyDescent="0.3">
      <c r="A339" s="35"/>
    </row>
    <row r="340" spans="1:18" ht="15.6" x14ac:dyDescent="0.3">
      <c r="A340" s="35"/>
      <c r="B340" s="49"/>
    </row>
    <row r="341" spans="1:18" x14ac:dyDescent="0.3">
      <c r="A341" s="35"/>
    </row>
    <row r="342" spans="1:18" x14ac:dyDescent="0.3">
      <c r="A342" s="35"/>
    </row>
    <row r="343" spans="1:18" x14ac:dyDescent="0.3">
      <c r="A343" s="35"/>
    </row>
    <row r="344" spans="1:18" x14ac:dyDescent="0.3">
      <c r="A344" s="35"/>
    </row>
    <row r="345" spans="1:18" x14ac:dyDescent="0.3">
      <c r="A345" s="35"/>
      <c r="B345" s="47"/>
    </row>
    <row r="346" spans="1:18" x14ac:dyDescent="0.3">
      <c r="A346" s="35"/>
      <c r="B346" s="59"/>
    </row>
    <row r="347" spans="1:18" s="33" customFormat="1" x14ac:dyDescent="0.3">
      <c r="A347" s="35"/>
      <c r="Q347" s="31"/>
      <c r="R347" s="32"/>
    </row>
    <row r="348" spans="1:18" ht="15.6" x14ac:dyDescent="0.3">
      <c r="A348" s="35"/>
      <c r="B348" s="49"/>
    </row>
    <row r="349" spans="1:18" x14ac:dyDescent="0.3">
      <c r="A349" s="35"/>
    </row>
    <row r="350" spans="1:18" x14ac:dyDescent="0.3">
      <c r="A350" s="35"/>
      <c r="B350" s="47"/>
    </row>
    <row r="351" spans="1:18" x14ac:dyDescent="0.3">
      <c r="A351" s="35"/>
    </row>
    <row r="352" spans="1:18" x14ac:dyDescent="0.3">
      <c r="A352" s="35"/>
    </row>
    <row r="353" spans="1:18" x14ac:dyDescent="0.3">
      <c r="A353" s="35"/>
    </row>
    <row r="354" spans="1:18" x14ac:dyDescent="0.3">
      <c r="A354" s="35"/>
    </row>
    <row r="355" spans="1:18" x14ac:dyDescent="0.3">
      <c r="A355" s="35"/>
    </row>
    <row r="356" spans="1:18" x14ac:dyDescent="0.3">
      <c r="A356" s="35"/>
    </row>
    <row r="357" spans="1:18" x14ac:dyDescent="0.3">
      <c r="A357" s="35"/>
    </row>
    <row r="358" spans="1:18" x14ac:dyDescent="0.3">
      <c r="A358" s="35"/>
    </row>
    <row r="359" spans="1:18" x14ac:dyDescent="0.3">
      <c r="A359" s="35"/>
    </row>
    <row r="360" spans="1:18" s="33" customFormat="1" x14ac:dyDescent="0.3">
      <c r="Q360" s="31"/>
      <c r="R360" s="32"/>
    </row>
    <row r="361" spans="1:18" ht="15.6" x14ac:dyDescent="0.3">
      <c r="A361" s="35"/>
      <c r="B361" s="49"/>
    </row>
    <row r="362" spans="1:18" x14ac:dyDescent="0.3">
      <c r="A362" s="35"/>
      <c r="B362" s="47"/>
    </row>
    <row r="363" spans="1:18" x14ac:dyDescent="0.3">
      <c r="A363" s="35"/>
    </row>
    <row r="364" spans="1:18" x14ac:dyDescent="0.3">
      <c r="A364" s="35"/>
    </row>
    <row r="365" spans="1:18" ht="15.6" x14ac:dyDescent="0.3">
      <c r="A365" s="35"/>
      <c r="B365" s="49"/>
    </row>
    <row r="366" spans="1:18" x14ac:dyDescent="0.3">
      <c r="A366" s="35"/>
    </row>
    <row r="367" spans="1:18" x14ac:dyDescent="0.3">
      <c r="A367" s="35"/>
    </row>
    <row r="368" spans="1:18" x14ac:dyDescent="0.3">
      <c r="A368" s="35"/>
    </row>
    <row r="369" spans="1:18" x14ac:dyDescent="0.3">
      <c r="A369" s="35"/>
    </row>
    <row r="370" spans="1:18" x14ac:dyDescent="0.3">
      <c r="A370" s="35"/>
    </row>
    <row r="371" spans="1:18" s="61" customFormat="1" x14ac:dyDescent="0.3">
      <c r="Q371" s="62"/>
      <c r="R371" s="63"/>
    </row>
    <row r="372" spans="1:18" ht="15.6" x14ac:dyDescent="0.3">
      <c r="A372" s="35"/>
      <c r="B372" s="49"/>
    </row>
    <row r="373" spans="1:18" x14ac:dyDescent="0.3">
      <c r="A373" s="35"/>
    </row>
    <row r="374" spans="1:18" x14ac:dyDescent="0.3">
      <c r="A374" s="35"/>
    </row>
    <row r="375" spans="1:18" x14ac:dyDescent="0.3">
      <c r="A375" s="35"/>
    </row>
    <row r="376" spans="1:18" x14ac:dyDescent="0.3">
      <c r="A376" s="35"/>
    </row>
    <row r="377" spans="1:18" x14ac:dyDescent="0.3">
      <c r="A377" s="35"/>
    </row>
    <row r="378" spans="1:18" x14ac:dyDescent="0.3">
      <c r="A378" s="35"/>
    </row>
    <row r="379" spans="1:18" x14ac:dyDescent="0.3">
      <c r="A379" s="35"/>
    </row>
    <row r="380" spans="1:18" x14ac:dyDescent="0.3">
      <c r="A380" s="35"/>
    </row>
    <row r="381" spans="1:18" x14ac:dyDescent="0.3">
      <c r="A381" s="35"/>
    </row>
    <row r="382" spans="1:18" x14ac:dyDescent="0.3">
      <c r="A382" s="35"/>
    </row>
    <row r="383" spans="1:18" x14ac:dyDescent="0.3">
      <c r="A383" s="35"/>
    </row>
    <row r="384" spans="1:18" s="33" customFormat="1" x14ac:dyDescent="0.3">
      <c r="Q384" s="31"/>
      <c r="R384" s="32"/>
    </row>
    <row r="385" spans="1:18" ht="15.6" x14ac:dyDescent="0.3">
      <c r="A385" s="35"/>
      <c r="B385" s="49"/>
    </row>
    <row r="386" spans="1:18" x14ac:dyDescent="0.3">
      <c r="A386" s="35"/>
    </row>
    <row r="387" spans="1:18" x14ac:dyDescent="0.3">
      <c r="A387" s="35"/>
    </row>
    <row r="388" spans="1:18" x14ac:dyDescent="0.3">
      <c r="A388" s="35"/>
    </row>
    <row r="389" spans="1:18" x14ac:dyDescent="0.3">
      <c r="A389" s="35"/>
    </row>
    <row r="390" spans="1:18" x14ac:dyDescent="0.3">
      <c r="A390" s="35"/>
    </row>
    <row r="391" spans="1:18" x14ac:dyDescent="0.3">
      <c r="A391" s="35"/>
    </row>
    <row r="392" spans="1:18" x14ac:dyDescent="0.3">
      <c r="A392" s="35"/>
    </row>
    <row r="393" spans="1:18" x14ac:dyDescent="0.3">
      <c r="A393" s="35"/>
    </row>
    <row r="394" spans="1:18" x14ac:dyDescent="0.3">
      <c r="A394" s="35"/>
    </row>
    <row r="395" spans="1:18" x14ac:dyDescent="0.3">
      <c r="A395" s="35"/>
      <c r="B395" s="47"/>
    </row>
    <row r="396" spans="1:18" s="33" customFormat="1" x14ac:dyDescent="0.3">
      <c r="Q396" s="31"/>
      <c r="R396" s="32"/>
    </row>
    <row r="397" spans="1:18" x14ac:dyDescent="0.3">
      <c r="A397" s="35"/>
      <c r="B397" s="47"/>
    </row>
    <row r="398" spans="1:18" x14ac:dyDescent="0.3">
      <c r="A398" s="35"/>
    </row>
    <row r="399" spans="1:18" x14ac:dyDescent="0.3">
      <c r="A399" s="35"/>
    </row>
    <row r="400" spans="1:18" x14ac:dyDescent="0.3">
      <c r="A400" s="35"/>
    </row>
    <row r="401" spans="1:18" x14ac:dyDescent="0.3">
      <c r="A401" s="35"/>
    </row>
    <row r="402" spans="1:18" x14ac:dyDescent="0.3">
      <c r="A402" s="35"/>
    </row>
    <row r="403" spans="1:18" x14ac:dyDescent="0.3">
      <c r="A403" s="35"/>
    </row>
    <row r="404" spans="1:18" x14ac:dyDescent="0.3">
      <c r="A404" s="35"/>
    </row>
    <row r="405" spans="1:18" x14ac:dyDescent="0.3">
      <c r="A405" s="35"/>
    </row>
    <row r="406" spans="1:18" s="33" customFormat="1" x14ac:dyDescent="0.3">
      <c r="Q406" s="31"/>
      <c r="R406" s="32"/>
    </row>
    <row r="407" spans="1:18" x14ac:dyDescent="0.3">
      <c r="A407" s="35"/>
    </row>
    <row r="408" spans="1:18" x14ac:dyDescent="0.3">
      <c r="A408" s="35"/>
      <c r="B408" s="47"/>
    </row>
    <row r="409" spans="1:18" ht="15.6" x14ac:dyDescent="0.3">
      <c r="A409" s="35"/>
      <c r="B409" s="49"/>
    </row>
    <row r="410" spans="1:18" x14ac:dyDescent="0.3">
      <c r="A410" s="35"/>
    </row>
    <row r="411" spans="1:18" x14ac:dyDescent="0.3">
      <c r="A411" s="35"/>
    </row>
    <row r="412" spans="1:18" x14ac:dyDescent="0.3">
      <c r="A412" s="35"/>
    </row>
    <row r="413" spans="1:18" x14ac:dyDescent="0.3">
      <c r="A413" s="35"/>
    </row>
    <row r="414" spans="1:18" s="33" customFormat="1" x14ac:dyDescent="0.3">
      <c r="Q414" s="31"/>
      <c r="R414" s="32"/>
    </row>
    <row r="415" spans="1:18" x14ac:dyDescent="0.3">
      <c r="A415" s="35"/>
    </row>
    <row r="416" spans="1:18" x14ac:dyDescent="0.3">
      <c r="A416" s="35"/>
    </row>
    <row r="417" spans="1:18" x14ac:dyDescent="0.3">
      <c r="A417" s="35"/>
    </row>
    <row r="418" spans="1:18" x14ac:dyDescent="0.3">
      <c r="A418" s="35"/>
      <c r="B418" s="47"/>
    </row>
    <row r="419" spans="1:18" x14ac:dyDescent="0.3">
      <c r="A419" s="35"/>
    </row>
    <row r="420" spans="1:18" x14ac:dyDescent="0.3">
      <c r="A420" s="35"/>
    </row>
    <row r="421" spans="1:18" x14ac:dyDescent="0.3">
      <c r="A421" s="35"/>
    </row>
    <row r="422" spans="1:18" x14ac:dyDescent="0.3">
      <c r="A422" s="35"/>
    </row>
    <row r="423" spans="1:18" x14ac:dyDescent="0.3">
      <c r="A423" s="35"/>
    </row>
    <row r="424" spans="1:18" x14ac:dyDescent="0.3">
      <c r="A424" s="35"/>
    </row>
    <row r="425" spans="1:18" s="33" customFormat="1" x14ac:dyDescent="0.3">
      <c r="Q425" s="31"/>
      <c r="R425" s="32"/>
    </row>
    <row r="426" spans="1:18" x14ac:dyDescent="0.3">
      <c r="A426" s="35"/>
    </row>
    <row r="427" spans="1:18" x14ac:dyDescent="0.3">
      <c r="A427" s="35"/>
    </row>
    <row r="428" spans="1:18" x14ac:dyDescent="0.3">
      <c r="A428" s="35"/>
    </row>
    <row r="429" spans="1:18" x14ac:dyDescent="0.3">
      <c r="A429" s="35"/>
    </row>
    <row r="430" spans="1:18" x14ac:dyDescent="0.3">
      <c r="A430" s="35"/>
    </row>
    <row r="431" spans="1:18" ht="15.6" x14ac:dyDescent="0.3">
      <c r="A431" s="35"/>
      <c r="B431" s="49"/>
    </row>
    <row r="432" spans="1:18" x14ac:dyDescent="0.3">
      <c r="A432" s="35"/>
    </row>
    <row r="433" spans="1:18" x14ac:dyDescent="0.3">
      <c r="A433" s="35"/>
    </row>
    <row r="434" spans="1:18" x14ac:dyDescent="0.3">
      <c r="A434" s="35"/>
    </row>
    <row r="435" spans="1:18" x14ac:dyDescent="0.3">
      <c r="A435" s="35"/>
    </row>
    <row r="436" spans="1:18" s="33" customFormat="1" x14ac:dyDescent="0.3">
      <c r="A436" s="35"/>
      <c r="Q436" s="31"/>
      <c r="R436" s="32"/>
    </row>
    <row r="437" spans="1:18" x14ac:dyDescent="0.3">
      <c r="A437" s="35"/>
    </row>
    <row r="438" spans="1:18" x14ac:dyDescent="0.3">
      <c r="A438" s="35"/>
    </row>
    <row r="439" spans="1:18" ht="15.6" x14ac:dyDescent="0.3">
      <c r="A439" s="35"/>
      <c r="B439" s="49"/>
    </row>
    <row r="440" spans="1:18" x14ac:dyDescent="0.3">
      <c r="A440" s="35"/>
    </row>
    <row r="441" spans="1:18" x14ac:dyDescent="0.3">
      <c r="A441" s="35"/>
    </row>
    <row r="442" spans="1:18" ht="14.25" customHeight="1" x14ac:dyDescent="0.3">
      <c r="A442" s="35"/>
      <c r="B442" s="47"/>
    </row>
    <row r="443" spans="1:18" x14ac:dyDescent="0.3">
      <c r="A443" s="35"/>
    </row>
    <row r="444" spans="1:18" x14ac:dyDescent="0.3">
      <c r="A444" s="35"/>
    </row>
    <row r="445" spans="1:18" x14ac:dyDescent="0.3">
      <c r="A445" s="35"/>
    </row>
    <row r="446" spans="1:18" s="33" customFormat="1" x14ac:dyDescent="0.3">
      <c r="Q446" s="31"/>
      <c r="R446" s="32"/>
    </row>
    <row r="447" spans="1:18" x14ac:dyDescent="0.3">
      <c r="A447" s="35"/>
    </row>
    <row r="448" spans="1:18" x14ac:dyDescent="0.3">
      <c r="A448" s="35"/>
      <c r="Q448" s="45"/>
    </row>
    <row r="449" spans="1:18" x14ac:dyDescent="0.3">
      <c r="A449" s="35"/>
    </row>
    <row r="450" spans="1:18" x14ac:dyDescent="0.3">
      <c r="A450" s="35"/>
    </row>
    <row r="451" spans="1:18" ht="15.6" x14ac:dyDescent="0.3">
      <c r="A451" s="35"/>
      <c r="B451" s="49"/>
    </row>
    <row r="452" spans="1:18" x14ac:dyDescent="0.3">
      <c r="A452" s="35"/>
    </row>
    <row r="453" spans="1:18" x14ac:dyDescent="0.3">
      <c r="A453" s="35"/>
      <c r="B453" s="47"/>
    </row>
    <row r="454" spans="1:18" x14ac:dyDescent="0.3">
      <c r="A454" s="35"/>
    </row>
    <row r="455" spans="1:18" x14ac:dyDescent="0.3">
      <c r="A455" s="35"/>
    </row>
    <row r="456" spans="1:18" s="33" customFormat="1" x14ac:dyDescent="0.3">
      <c r="Q456" s="31"/>
      <c r="R456" s="32"/>
    </row>
    <row r="457" spans="1:18" x14ac:dyDescent="0.3">
      <c r="A457" s="35"/>
    </row>
    <row r="458" spans="1:18" x14ac:dyDescent="0.3">
      <c r="A458" s="35"/>
    </row>
    <row r="459" spans="1:18" x14ac:dyDescent="0.3">
      <c r="A459" s="35"/>
    </row>
    <row r="460" spans="1:18" x14ac:dyDescent="0.3">
      <c r="A460" s="35"/>
    </row>
    <row r="461" spans="1:18" x14ac:dyDescent="0.3">
      <c r="A461" s="35"/>
      <c r="B461" s="47"/>
    </row>
    <row r="462" spans="1:18" x14ac:dyDescent="0.3">
      <c r="A462" s="35"/>
    </row>
    <row r="463" spans="1:18" x14ac:dyDescent="0.3">
      <c r="A463" s="35"/>
    </row>
    <row r="464" spans="1:18" x14ac:dyDescent="0.3">
      <c r="A464" s="35"/>
    </row>
    <row r="465" spans="1:18" s="33" customFormat="1" x14ac:dyDescent="0.3">
      <c r="Q465" s="31"/>
      <c r="R465" s="32"/>
    </row>
    <row r="466" spans="1:18" x14ac:dyDescent="0.3">
      <c r="A466" s="35"/>
    </row>
    <row r="467" spans="1:18" x14ac:dyDescent="0.3">
      <c r="A467" s="35"/>
    </row>
    <row r="468" spans="1:18" x14ac:dyDescent="0.3">
      <c r="A468" s="35"/>
    </row>
    <row r="469" spans="1:18" x14ac:dyDescent="0.3">
      <c r="A469" s="35"/>
    </row>
    <row r="470" spans="1:18" x14ac:dyDescent="0.3">
      <c r="A470" s="35"/>
    </row>
    <row r="471" spans="1:18" s="33" customFormat="1" x14ac:dyDescent="0.3">
      <c r="Q471" s="31"/>
      <c r="R471" s="32"/>
    </row>
    <row r="472" spans="1:18" x14ac:dyDescent="0.3">
      <c r="A472" s="35"/>
    </row>
    <row r="473" spans="1:18" x14ac:dyDescent="0.3">
      <c r="A473" s="35"/>
    </row>
    <row r="474" spans="1:18" x14ac:dyDescent="0.3">
      <c r="A474" s="35"/>
    </row>
    <row r="475" spans="1:18" x14ac:dyDescent="0.3">
      <c r="A475" s="35"/>
    </row>
    <row r="476" spans="1:18" x14ac:dyDescent="0.3">
      <c r="A476" s="35"/>
    </row>
    <row r="477" spans="1:18" x14ac:dyDescent="0.3">
      <c r="A477" s="35"/>
    </row>
    <row r="478" spans="1:18" x14ac:dyDescent="0.3">
      <c r="A478" s="35"/>
      <c r="B478" s="47"/>
    </row>
    <row r="479" spans="1:18" s="33" customFormat="1" x14ac:dyDescent="0.3">
      <c r="Q479" s="31"/>
      <c r="R479" s="32"/>
    </row>
    <row r="480" spans="1:18" x14ac:dyDescent="0.3">
      <c r="A480" s="35"/>
    </row>
    <row r="481" spans="1:18" x14ac:dyDescent="0.3">
      <c r="A481" s="35"/>
    </row>
    <row r="482" spans="1:18" x14ac:dyDescent="0.3">
      <c r="A482" s="35"/>
    </row>
    <row r="483" spans="1:18" x14ac:dyDescent="0.3">
      <c r="A483" s="35"/>
    </row>
    <row r="484" spans="1:18" x14ac:dyDescent="0.3">
      <c r="A484" s="35"/>
    </row>
    <row r="485" spans="1:18" x14ac:dyDescent="0.3">
      <c r="A485" s="35"/>
    </row>
    <row r="486" spans="1:18" x14ac:dyDescent="0.3">
      <c r="A486" s="35"/>
    </row>
    <row r="487" spans="1:18" x14ac:dyDescent="0.3">
      <c r="A487" s="35"/>
    </row>
    <row r="488" spans="1:18" x14ac:dyDescent="0.3">
      <c r="A488" s="35"/>
    </row>
    <row r="489" spans="1:18" x14ac:dyDescent="0.3">
      <c r="A489" s="64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65"/>
    </row>
    <row r="490" spans="1:18" s="33" customFormat="1" x14ac:dyDescent="0.3">
      <c r="Q490" s="31"/>
      <c r="R490" s="32"/>
    </row>
    <row r="491" spans="1:18" x14ac:dyDescent="0.3">
      <c r="A491" s="35"/>
    </row>
    <row r="492" spans="1:18" s="33" customFormat="1" x14ac:dyDescent="0.3">
      <c r="Q492" s="31"/>
      <c r="R492" s="32"/>
    </row>
    <row r="493" spans="1:18" x14ac:dyDescent="0.3">
      <c r="A493" s="35"/>
    </row>
    <row r="494" spans="1:18" x14ac:dyDescent="0.3">
      <c r="A494" s="35"/>
    </row>
    <row r="495" spans="1:18" x14ac:dyDescent="0.3">
      <c r="A495" s="35"/>
    </row>
    <row r="496" spans="1:18" x14ac:dyDescent="0.3">
      <c r="A496" s="35"/>
    </row>
    <row r="497" spans="1:18" x14ac:dyDescent="0.3">
      <c r="A497" s="35"/>
    </row>
    <row r="498" spans="1:18" x14ac:dyDescent="0.3">
      <c r="A498" s="35"/>
    </row>
    <row r="499" spans="1:18" x14ac:dyDescent="0.3">
      <c r="A499" s="35"/>
    </row>
    <row r="500" spans="1:18" x14ac:dyDescent="0.3">
      <c r="A500" s="35"/>
      <c r="B500" s="47"/>
    </row>
    <row r="501" spans="1:18" x14ac:dyDescent="0.3">
      <c r="A501" s="35"/>
    </row>
    <row r="502" spans="1:18" x14ac:dyDescent="0.3">
      <c r="A502" s="35"/>
      <c r="B502" s="47"/>
    </row>
    <row r="503" spans="1:18" s="33" customFormat="1" x14ac:dyDescent="0.3">
      <c r="Q503" s="31"/>
      <c r="R503" s="32"/>
    </row>
    <row r="504" spans="1:18" x14ac:dyDescent="0.3">
      <c r="A504" s="35"/>
    </row>
    <row r="505" spans="1:18" x14ac:dyDescent="0.3">
      <c r="A505" s="35"/>
    </row>
    <row r="506" spans="1:18" x14ac:dyDescent="0.3">
      <c r="A506" s="35"/>
    </row>
    <row r="507" spans="1:18" x14ac:dyDescent="0.3">
      <c r="A507" s="35"/>
    </row>
    <row r="508" spans="1:18" x14ac:dyDescent="0.3">
      <c r="A508" s="35"/>
    </row>
    <row r="509" spans="1:18" x14ac:dyDescent="0.3">
      <c r="A509" s="35"/>
    </row>
    <row r="510" spans="1:18" x14ac:dyDescent="0.3">
      <c r="A510" s="35"/>
    </row>
    <row r="511" spans="1:18" x14ac:dyDescent="0.3">
      <c r="A511" s="35"/>
    </row>
    <row r="512" spans="1:18" x14ac:dyDescent="0.3">
      <c r="A512" s="35"/>
    </row>
    <row r="513" spans="1:18" s="33" customFormat="1" x14ac:dyDescent="0.3">
      <c r="Q513" s="31"/>
      <c r="R513" s="32"/>
    </row>
    <row r="514" spans="1:18" ht="15.6" x14ac:dyDescent="0.3">
      <c r="A514" s="35"/>
      <c r="B514" s="49"/>
    </row>
    <row r="515" spans="1:18" x14ac:dyDescent="0.3">
      <c r="A515" s="35"/>
    </row>
    <row r="516" spans="1:18" x14ac:dyDescent="0.3">
      <c r="A516" s="35"/>
      <c r="B516" s="47"/>
    </row>
    <row r="517" spans="1:18" x14ac:dyDescent="0.3">
      <c r="A517" s="35"/>
    </row>
    <row r="518" spans="1:18" x14ac:dyDescent="0.3">
      <c r="A518" s="35"/>
    </row>
    <row r="519" spans="1:18" s="33" customFormat="1" x14ac:dyDescent="0.3">
      <c r="Q519" s="31"/>
      <c r="R519" s="32"/>
    </row>
    <row r="520" spans="1:18" x14ac:dyDescent="0.3">
      <c r="A520" s="35"/>
      <c r="B520" s="47"/>
    </row>
    <row r="521" spans="1:18" x14ac:dyDescent="0.3">
      <c r="A521" s="35"/>
    </row>
    <row r="522" spans="1:18" x14ac:dyDescent="0.3">
      <c r="A522" s="35"/>
    </row>
    <row r="523" spans="1:18" x14ac:dyDescent="0.3">
      <c r="A523" s="35"/>
    </row>
    <row r="524" spans="1:18" x14ac:dyDescent="0.3">
      <c r="A524" s="35"/>
    </row>
    <row r="525" spans="1:18" x14ac:dyDescent="0.3">
      <c r="A525" s="35"/>
    </row>
    <row r="526" spans="1:18" s="33" customFormat="1" x14ac:dyDescent="0.3">
      <c r="Q526" s="31"/>
      <c r="R526" s="32"/>
    </row>
    <row r="527" spans="1:18" x14ac:dyDescent="0.3">
      <c r="A527" s="35"/>
      <c r="B527" s="47"/>
    </row>
    <row r="528" spans="1:18" ht="15.6" x14ac:dyDescent="0.3">
      <c r="A528" s="35"/>
      <c r="B528" s="49"/>
    </row>
    <row r="529" spans="1:19" x14ac:dyDescent="0.3">
      <c r="A529" s="35"/>
    </row>
    <row r="530" spans="1:19" x14ac:dyDescent="0.3">
      <c r="A530" s="35"/>
    </row>
    <row r="531" spans="1:19" x14ac:dyDescent="0.3">
      <c r="A531" s="35"/>
    </row>
    <row r="532" spans="1:19" x14ac:dyDescent="0.3">
      <c r="A532" s="35"/>
    </row>
    <row r="533" spans="1:19" x14ac:dyDescent="0.3">
      <c r="A533" s="35"/>
    </row>
    <row r="534" spans="1:19" x14ac:dyDescent="0.3">
      <c r="A534" s="35"/>
    </row>
    <row r="535" spans="1:19" s="33" customFormat="1" x14ac:dyDescent="0.3">
      <c r="Q535" s="31"/>
      <c r="R535" s="32"/>
    </row>
    <row r="536" spans="1:19" x14ac:dyDescent="0.3">
      <c r="A536" s="35"/>
      <c r="B536" s="47"/>
    </row>
    <row r="537" spans="1:19" ht="15.6" x14ac:dyDescent="0.3">
      <c r="A537" s="35"/>
      <c r="B537" s="49"/>
    </row>
    <row r="538" spans="1:19" x14ac:dyDescent="0.3">
      <c r="A538" s="35"/>
    </row>
    <row r="539" spans="1:19" x14ac:dyDescent="0.3">
      <c r="A539" s="35"/>
    </row>
    <row r="540" spans="1:19" x14ac:dyDescent="0.3">
      <c r="A540" s="35"/>
    </row>
    <row r="541" spans="1:19" x14ac:dyDescent="0.3">
      <c r="A541" s="35"/>
    </row>
    <row r="542" spans="1:19" x14ac:dyDescent="0.3">
      <c r="A542" s="35"/>
    </row>
    <row r="543" spans="1:19" x14ac:dyDescent="0.3">
      <c r="A543" s="35"/>
      <c r="S543" s="29" t="s">
        <v>24</v>
      </c>
    </row>
    <row r="544" spans="1:19" x14ac:dyDescent="0.3">
      <c r="A544" s="35"/>
      <c r="B544" s="47"/>
    </row>
    <row r="545" spans="1:18" x14ac:dyDescent="0.3">
      <c r="A545" s="35"/>
    </row>
    <row r="546" spans="1:18" x14ac:dyDescent="0.3">
      <c r="A546" s="35"/>
    </row>
    <row r="547" spans="1:18" x14ac:dyDescent="0.3">
      <c r="A547" s="35"/>
    </row>
    <row r="548" spans="1:18" x14ac:dyDescent="0.3">
      <c r="A548" s="35"/>
    </row>
    <row r="549" spans="1:18" s="34" customFormat="1" x14ac:dyDescent="0.3">
      <c r="Q549" s="51"/>
      <c r="R549" s="52"/>
    </row>
    <row r="550" spans="1:18" x14ac:dyDescent="0.3">
      <c r="A550" s="35"/>
    </row>
    <row r="551" spans="1:18" x14ac:dyDescent="0.3">
      <c r="A551" s="35"/>
      <c r="B551" s="47"/>
    </row>
    <row r="552" spans="1:18" x14ac:dyDescent="0.3">
      <c r="A552" s="35"/>
    </row>
    <row r="553" spans="1:18" x14ac:dyDescent="0.3">
      <c r="A553" s="35"/>
    </row>
    <row r="554" spans="1:18" s="33" customFormat="1" x14ac:dyDescent="0.3">
      <c r="B554" s="48"/>
      <c r="Q554" s="31"/>
      <c r="R554" s="32"/>
    </row>
    <row r="555" spans="1:18" x14ac:dyDescent="0.3">
      <c r="A555" s="35"/>
    </row>
    <row r="556" spans="1:18" ht="15.6" x14ac:dyDescent="0.3">
      <c r="A556" s="35"/>
      <c r="B556" s="49"/>
    </row>
    <row r="557" spans="1:18" x14ac:dyDescent="0.3">
      <c r="A557" s="35"/>
    </row>
    <row r="558" spans="1:18" x14ac:dyDescent="0.3">
      <c r="A558" s="35"/>
    </row>
    <row r="559" spans="1:18" x14ac:dyDescent="0.3">
      <c r="A559" s="35"/>
    </row>
    <row r="560" spans="1:18" x14ac:dyDescent="0.3">
      <c r="A560" s="35"/>
    </row>
    <row r="561" spans="1:18" x14ac:dyDescent="0.3">
      <c r="A561" s="35"/>
    </row>
    <row r="562" spans="1:18" x14ac:dyDescent="0.3">
      <c r="A562" s="35"/>
    </row>
    <row r="563" spans="1:18" x14ac:dyDescent="0.3">
      <c r="A563" s="35"/>
    </row>
    <row r="564" spans="1:18" x14ac:dyDescent="0.3">
      <c r="A564" s="35"/>
    </row>
    <row r="565" spans="1:18" s="33" customFormat="1" x14ac:dyDescent="0.3">
      <c r="Q565" s="31"/>
      <c r="R565" s="32"/>
    </row>
    <row r="566" spans="1:18" x14ac:dyDescent="0.3">
      <c r="A566" s="35"/>
    </row>
    <row r="567" spans="1:18" x14ac:dyDescent="0.3">
      <c r="A567" s="35"/>
    </row>
    <row r="568" spans="1:18" x14ac:dyDescent="0.3">
      <c r="A568" s="35"/>
    </row>
    <row r="569" spans="1:18" x14ac:dyDescent="0.3">
      <c r="A569" s="35"/>
      <c r="B569" s="47"/>
    </row>
    <row r="570" spans="1:18" ht="15.6" x14ac:dyDescent="0.3">
      <c r="A570" s="35"/>
      <c r="B570" s="49"/>
    </row>
    <row r="571" spans="1:18" x14ac:dyDescent="0.3">
      <c r="A571" s="35"/>
    </row>
    <row r="572" spans="1:18" x14ac:dyDescent="0.3">
      <c r="A572" s="35"/>
    </row>
    <row r="573" spans="1:18" x14ac:dyDescent="0.3">
      <c r="A573" s="35"/>
      <c r="B573" s="47"/>
    </row>
    <row r="574" spans="1:18" s="33" customFormat="1" x14ac:dyDescent="0.3">
      <c r="Q574" s="31"/>
      <c r="R574" s="32"/>
    </row>
    <row r="575" spans="1:18" x14ac:dyDescent="0.3">
      <c r="A575" s="35"/>
    </row>
    <row r="576" spans="1:18" x14ac:dyDescent="0.3">
      <c r="A576" s="35"/>
      <c r="B576" s="47"/>
    </row>
    <row r="577" spans="1:18" x14ac:dyDescent="0.3">
      <c r="A577" s="35"/>
    </row>
    <row r="578" spans="1:18" x14ac:dyDescent="0.3">
      <c r="A578" s="35"/>
    </row>
    <row r="579" spans="1:18" x14ac:dyDescent="0.3">
      <c r="A579" s="35"/>
    </row>
    <row r="580" spans="1:18" x14ac:dyDescent="0.3">
      <c r="A580" s="35"/>
    </row>
    <row r="581" spans="1:18" x14ac:dyDescent="0.3">
      <c r="A581" s="35"/>
    </row>
    <row r="582" spans="1:18" x14ac:dyDescent="0.3">
      <c r="A582" s="35"/>
    </row>
    <row r="583" spans="1:18" s="33" customFormat="1" x14ac:dyDescent="0.3">
      <c r="Q583" s="31"/>
      <c r="R583" s="32"/>
    </row>
    <row r="584" spans="1:18" x14ac:dyDescent="0.3">
      <c r="A584" s="35"/>
    </row>
    <row r="585" spans="1:18" x14ac:dyDescent="0.3">
      <c r="A585" s="35"/>
    </row>
    <row r="586" spans="1:18" x14ac:dyDescent="0.3">
      <c r="A586" s="35"/>
    </row>
    <row r="587" spans="1:18" x14ac:dyDescent="0.3">
      <c r="A587" s="35"/>
      <c r="B587" s="47"/>
    </row>
    <row r="588" spans="1:18" x14ac:dyDescent="0.3">
      <c r="A588" s="35"/>
    </row>
    <row r="589" spans="1:18" x14ac:dyDescent="0.3">
      <c r="A589" s="35"/>
    </row>
    <row r="590" spans="1:18" x14ac:dyDescent="0.3">
      <c r="A590" s="35"/>
    </row>
    <row r="591" spans="1:18" x14ac:dyDescent="0.3">
      <c r="A591" s="35"/>
    </row>
    <row r="592" spans="1:18" x14ac:dyDescent="0.3">
      <c r="A592" s="35"/>
    </row>
    <row r="593" spans="1:18" s="33" customFormat="1" x14ac:dyDescent="0.3">
      <c r="Q593" s="31"/>
      <c r="R593" s="32"/>
    </row>
    <row r="594" spans="1:18" x14ac:dyDescent="0.3">
      <c r="A594" s="35"/>
      <c r="B594" s="47"/>
    </row>
    <row r="595" spans="1:18" x14ac:dyDescent="0.3">
      <c r="A595" s="35"/>
    </row>
    <row r="596" spans="1:18" x14ac:dyDescent="0.3">
      <c r="A596" s="35"/>
    </row>
    <row r="597" spans="1:18" x14ac:dyDescent="0.3">
      <c r="A597" s="35"/>
    </row>
    <row r="598" spans="1:18" x14ac:dyDescent="0.3">
      <c r="A598" s="35"/>
      <c r="B598" s="47"/>
    </row>
    <row r="599" spans="1:18" x14ac:dyDescent="0.3">
      <c r="A599" s="35"/>
    </row>
    <row r="600" spans="1:18" x14ac:dyDescent="0.3">
      <c r="A600" s="35"/>
    </row>
    <row r="601" spans="1:18" x14ac:dyDescent="0.3">
      <c r="A601" s="35"/>
    </row>
    <row r="602" spans="1:18" s="33" customFormat="1" x14ac:dyDescent="0.3">
      <c r="Q602" s="31"/>
      <c r="R602" s="32"/>
    </row>
    <row r="603" spans="1:18" x14ac:dyDescent="0.3">
      <c r="A603" s="35"/>
    </row>
    <row r="604" spans="1:18" x14ac:dyDescent="0.3">
      <c r="A604" s="35"/>
    </row>
    <row r="605" spans="1:18" x14ac:dyDescent="0.3">
      <c r="A605" s="35"/>
    </row>
    <row r="606" spans="1:18" x14ac:dyDescent="0.3">
      <c r="A606" s="35"/>
    </row>
    <row r="607" spans="1:18" x14ac:dyDescent="0.3">
      <c r="A607" s="35"/>
    </row>
    <row r="608" spans="1:18" x14ac:dyDescent="0.3">
      <c r="A608" s="35"/>
    </row>
    <row r="609" spans="1:19" x14ac:dyDescent="0.3">
      <c r="A609" s="35"/>
    </row>
    <row r="610" spans="1:19" x14ac:dyDescent="0.3">
      <c r="A610" s="35"/>
    </row>
    <row r="611" spans="1:19" x14ac:dyDescent="0.3">
      <c r="A611" s="35"/>
    </row>
    <row r="612" spans="1:19" x14ac:dyDescent="0.3">
      <c r="A612" s="35"/>
      <c r="B612" s="47"/>
    </row>
    <row r="613" spans="1:19" x14ac:dyDescent="0.3">
      <c r="A613" s="35"/>
    </row>
    <row r="614" spans="1:19" x14ac:dyDescent="0.3">
      <c r="A614" s="35"/>
      <c r="B614" s="47"/>
    </row>
    <row r="615" spans="1:19" x14ac:dyDescent="0.3">
      <c r="A615" s="35"/>
    </row>
    <row r="616" spans="1:19" s="33" customFormat="1" x14ac:dyDescent="0.3">
      <c r="Q616" s="31"/>
      <c r="R616" s="32"/>
    </row>
    <row r="617" spans="1:19" x14ac:dyDescent="0.3">
      <c r="A617" s="35"/>
    </row>
    <row r="618" spans="1:19" x14ac:dyDescent="0.3">
      <c r="A618" s="35"/>
      <c r="B618" s="47"/>
    </row>
    <row r="619" spans="1:19" x14ac:dyDescent="0.3">
      <c r="A619" s="35"/>
    </row>
    <row r="620" spans="1:19" x14ac:dyDescent="0.3">
      <c r="A620" s="35"/>
    </row>
    <row r="621" spans="1:19" x14ac:dyDescent="0.3">
      <c r="A621" s="35"/>
    </row>
    <row r="622" spans="1:19" x14ac:dyDescent="0.3">
      <c r="A622" s="35"/>
      <c r="S622" s="29" t="s">
        <v>25</v>
      </c>
    </row>
    <row r="623" spans="1:19" x14ac:dyDescent="0.3">
      <c r="A623" s="35"/>
    </row>
    <row r="624" spans="1:19" x14ac:dyDescent="0.3">
      <c r="A624" s="35"/>
    </row>
    <row r="625" spans="1:18" s="33" customFormat="1" x14ac:dyDescent="0.3">
      <c r="Q625" s="31"/>
      <c r="R625" s="32"/>
    </row>
    <row r="626" spans="1:18" x14ac:dyDescent="0.3">
      <c r="A626" s="35"/>
    </row>
    <row r="627" spans="1:18" x14ac:dyDescent="0.3">
      <c r="A627" s="35"/>
    </row>
    <row r="628" spans="1:18" x14ac:dyDescent="0.3">
      <c r="A628" s="35"/>
    </row>
    <row r="629" spans="1:18" x14ac:dyDescent="0.3">
      <c r="A629" s="35"/>
    </row>
    <row r="630" spans="1:18" x14ac:dyDescent="0.3">
      <c r="A630" s="35"/>
      <c r="B630" s="47"/>
    </row>
    <row r="631" spans="1:18" x14ac:dyDescent="0.3">
      <c r="A631" s="35"/>
      <c r="B631" s="47"/>
    </row>
    <row r="632" spans="1:18" x14ac:dyDescent="0.3">
      <c r="A632" s="35"/>
    </row>
    <row r="633" spans="1:18" x14ac:dyDescent="0.3">
      <c r="A633" s="35"/>
    </row>
    <row r="634" spans="1:18" s="33" customFormat="1" x14ac:dyDescent="0.3">
      <c r="Q634" s="31"/>
      <c r="R634" s="32"/>
    </row>
    <row r="635" spans="1:18" x14ac:dyDescent="0.3">
      <c r="A635" s="35"/>
    </row>
    <row r="636" spans="1:18" x14ac:dyDescent="0.3">
      <c r="A636" s="35"/>
    </row>
    <row r="637" spans="1:18" x14ac:dyDescent="0.3">
      <c r="A637" s="35"/>
    </row>
    <row r="638" spans="1:18" x14ac:dyDescent="0.3">
      <c r="A638" s="35"/>
      <c r="B638" s="47"/>
    </row>
    <row r="639" spans="1:18" x14ac:dyDescent="0.3">
      <c r="A639" s="35"/>
    </row>
    <row r="640" spans="1:18" x14ac:dyDescent="0.3">
      <c r="A640" s="35"/>
    </row>
    <row r="641" spans="1:18" x14ac:dyDescent="0.3">
      <c r="A641" s="35"/>
    </row>
    <row r="642" spans="1:18" s="33" customFormat="1" x14ac:dyDescent="0.3">
      <c r="Q642" s="31"/>
      <c r="R642" s="32"/>
    </row>
    <row r="643" spans="1:18" x14ac:dyDescent="0.3">
      <c r="A643" s="35"/>
    </row>
    <row r="644" spans="1:18" s="33" customFormat="1" x14ac:dyDescent="0.3">
      <c r="Q644" s="31"/>
      <c r="R644" s="32"/>
    </row>
    <row r="645" spans="1:18" x14ac:dyDescent="0.3">
      <c r="A645" s="35"/>
      <c r="B645" s="47"/>
    </row>
    <row r="646" spans="1:18" x14ac:dyDescent="0.3">
      <c r="A646" s="35"/>
    </row>
    <row r="647" spans="1:18" x14ac:dyDescent="0.3">
      <c r="A647" s="35"/>
    </row>
    <row r="648" spans="1:18" x14ac:dyDescent="0.3">
      <c r="A648" s="35"/>
    </row>
    <row r="649" spans="1:18" s="33" customFormat="1" x14ac:dyDescent="0.3">
      <c r="Q649" s="31"/>
      <c r="R649" s="32"/>
    </row>
    <row r="650" spans="1:18" x14ac:dyDescent="0.3">
      <c r="A650" s="35"/>
    </row>
    <row r="651" spans="1:18" ht="15.6" x14ac:dyDescent="0.3">
      <c r="A651" s="35"/>
      <c r="B651" s="49"/>
    </row>
    <row r="652" spans="1:18" x14ac:dyDescent="0.3">
      <c r="A652" s="35"/>
    </row>
    <row r="653" spans="1:18" x14ac:dyDescent="0.3">
      <c r="A653" s="35"/>
      <c r="B653" s="47"/>
    </row>
    <row r="654" spans="1:18" x14ac:dyDescent="0.3">
      <c r="A654" s="35"/>
    </row>
    <row r="655" spans="1:18" x14ac:dyDescent="0.3">
      <c r="A655" s="35"/>
    </row>
    <row r="656" spans="1:18" x14ac:dyDescent="0.3">
      <c r="A656" s="35"/>
    </row>
    <row r="657" spans="1:19" x14ac:dyDescent="0.3">
      <c r="A657" s="35"/>
    </row>
    <row r="658" spans="1:19" x14ac:dyDescent="0.3">
      <c r="A658" s="35"/>
    </row>
    <row r="659" spans="1:19" x14ac:dyDescent="0.3">
      <c r="A659" s="35"/>
      <c r="S659" s="29" t="s">
        <v>19</v>
      </c>
    </row>
    <row r="660" spans="1:19" s="33" customFormat="1" x14ac:dyDescent="0.3">
      <c r="Q660" s="31"/>
      <c r="R660" s="32"/>
    </row>
    <row r="661" spans="1:19" x14ac:dyDescent="0.3">
      <c r="A661" s="35"/>
    </row>
    <row r="662" spans="1:19" x14ac:dyDescent="0.3">
      <c r="A662" s="35"/>
    </row>
    <row r="663" spans="1:19" ht="15.6" x14ac:dyDescent="0.3">
      <c r="A663" s="35"/>
      <c r="B663" s="49"/>
    </row>
    <row r="664" spans="1:19" x14ac:dyDescent="0.3">
      <c r="A664" s="35"/>
    </row>
    <row r="665" spans="1:19" x14ac:dyDescent="0.3">
      <c r="A665" s="35"/>
    </row>
    <row r="666" spans="1:19" x14ac:dyDescent="0.3">
      <c r="A666" s="35"/>
    </row>
    <row r="667" spans="1:19" x14ac:dyDescent="0.3">
      <c r="A667" s="35"/>
    </row>
    <row r="668" spans="1:19" x14ac:dyDescent="0.3">
      <c r="A668" s="35"/>
      <c r="B668" s="47"/>
    </row>
    <row r="669" spans="1:19" x14ac:dyDescent="0.3">
      <c r="A669" s="35"/>
    </row>
    <row r="670" spans="1:19" s="33" customFormat="1" x14ac:dyDescent="0.3">
      <c r="Q670" s="31"/>
      <c r="R670" s="32"/>
    </row>
    <row r="671" spans="1:19" x14ac:dyDescent="0.3">
      <c r="A671" s="35"/>
    </row>
    <row r="672" spans="1:19" x14ac:dyDescent="0.3">
      <c r="A672" s="35"/>
    </row>
    <row r="673" spans="1:18" x14ac:dyDescent="0.3">
      <c r="A673" s="35"/>
    </row>
    <row r="674" spans="1:18" ht="15.6" x14ac:dyDescent="0.3">
      <c r="A674" s="35"/>
      <c r="B674" s="49"/>
    </row>
    <row r="675" spans="1:18" x14ac:dyDescent="0.3">
      <c r="A675" s="35"/>
    </row>
    <row r="676" spans="1:18" x14ac:dyDescent="0.3">
      <c r="A676" s="35"/>
    </row>
    <row r="677" spans="1:18" x14ac:dyDescent="0.3">
      <c r="A677" s="35"/>
    </row>
    <row r="678" spans="1:18" x14ac:dyDescent="0.3">
      <c r="A678" s="35"/>
    </row>
    <row r="679" spans="1:18" x14ac:dyDescent="0.3">
      <c r="A679" s="35"/>
    </row>
    <row r="680" spans="1:18" x14ac:dyDescent="0.3">
      <c r="A680" s="35"/>
    </row>
    <row r="681" spans="1:18" x14ac:dyDescent="0.3">
      <c r="A681" s="35"/>
      <c r="B681" s="47"/>
    </row>
    <row r="682" spans="1:18" x14ac:dyDescent="0.3">
      <c r="A682" s="35"/>
    </row>
    <row r="683" spans="1:18" s="33" customFormat="1" x14ac:dyDescent="0.3">
      <c r="Q683" s="31"/>
      <c r="R683" s="32"/>
    </row>
    <row r="684" spans="1:18" x14ac:dyDescent="0.3">
      <c r="A684" s="35"/>
      <c r="B684" s="47"/>
    </row>
    <row r="685" spans="1:18" x14ac:dyDescent="0.3">
      <c r="A685" s="35"/>
    </row>
    <row r="686" spans="1:18" x14ac:dyDescent="0.3">
      <c r="A686" s="35"/>
    </row>
    <row r="687" spans="1:18" x14ac:dyDescent="0.3">
      <c r="A687" s="35"/>
    </row>
    <row r="688" spans="1:18" x14ac:dyDescent="0.3">
      <c r="A688" s="35"/>
    </row>
    <row r="689" spans="1:18" x14ac:dyDescent="0.3">
      <c r="A689" s="35"/>
      <c r="B689" s="47"/>
    </row>
    <row r="690" spans="1:18" x14ac:dyDescent="0.3">
      <c r="A690" s="35"/>
    </row>
    <row r="691" spans="1:18" x14ac:dyDescent="0.3">
      <c r="A691" s="35"/>
    </row>
    <row r="692" spans="1:18" x14ac:dyDescent="0.3">
      <c r="A692" s="35"/>
    </row>
    <row r="693" spans="1:18" s="33" customFormat="1" x14ac:dyDescent="0.3">
      <c r="Q693" s="31"/>
      <c r="R693" s="32"/>
    </row>
    <row r="694" spans="1:18" ht="15.6" x14ac:dyDescent="0.3">
      <c r="A694" s="35"/>
      <c r="B694" s="49"/>
    </row>
    <row r="695" spans="1:18" x14ac:dyDescent="0.3">
      <c r="A695" s="35"/>
    </row>
    <row r="696" spans="1:18" x14ac:dyDescent="0.3">
      <c r="A696" s="35"/>
    </row>
    <row r="697" spans="1:18" x14ac:dyDescent="0.3">
      <c r="A697" s="35"/>
      <c r="B697" s="47"/>
    </row>
    <row r="698" spans="1:18" x14ac:dyDescent="0.3">
      <c r="A698" s="35"/>
    </row>
    <row r="699" spans="1:18" x14ac:dyDescent="0.3">
      <c r="A699" s="35"/>
    </row>
    <row r="700" spans="1:18" x14ac:dyDescent="0.3">
      <c r="A700" s="35"/>
    </row>
    <row r="701" spans="1:18" x14ac:dyDescent="0.3">
      <c r="A701" s="35"/>
    </row>
    <row r="702" spans="1:18" s="33" customFormat="1" x14ac:dyDescent="0.3">
      <c r="Q702" s="31"/>
      <c r="R702" s="32"/>
    </row>
    <row r="703" spans="1:18" x14ac:dyDescent="0.3">
      <c r="A703" s="35"/>
    </row>
    <row r="704" spans="1:18" x14ac:dyDescent="0.3">
      <c r="A704" s="35"/>
    </row>
    <row r="705" spans="1:20" x14ac:dyDescent="0.3">
      <c r="A705" s="35"/>
      <c r="B705" s="47"/>
    </row>
    <row r="706" spans="1:20" x14ac:dyDescent="0.3">
      <c r="A706" s="35"/>
    </row>
    <row r="707" spans="1:20" s="33" customFormat="1" x14ac:dyDescent="0.3">
      <c r="Q707" s="31"/>
      <c r="R707" s="32"/>
    </row>
    <row r="708" spans="1:20" x14ac:dyDescent="0.3">
      <c r="A708" s="35"/>
    </row>
    <row r="709" spans="1:20" x14ac:dyDescent="0.3">
      <c r="A709" s="35"/>
      <c r="B709" s="47"/>
    </row>
    <row r="710" spans="1:20" x14ac:dyDescent="0.3">
      <c r="A710" s="35"/>
    </row>
    <row r="711" spans="1:20" x14ac:dyDescent="0.3">
      <c r="A711" s="35"/>
    </row>
    <row r="712" spans="1:20" x14ac:dyDescent="0.3">
      <c r="A712" s="35"/>
    </row>
    <row r="713" spans="1:20" x14ac:dyDescent="0.3">
      <c r="A713" s="35"/>
    </row>
    <row r="714" spans="1:20" x14ac:dyDescent="0.3">
      <c r="A714" s="35"/>
      <c r="B714" s="47"/>
    </row>
    <row r="715" spans="1:20" x14ac:dyDescent="0.3">
      <c r="A715" s="35"/>
      <c r="T715" s="58"/>
    </row>
    <row r="716" spans="1:20" x14ac:dyDescent="0.3">
      <c r="A716" s="35"/>
    </row>
    <row r="717" spans="1:20" x14ac:dyDescent="0.3">
      <c r="A717" s="35"/>
    </row>
    <row r="718" spans="1:20" x14ac:dyDescent="0.3">
      <c r="A718" s="35"/>
    </row>
    <row r="719" spans="1:20" s="33" customFormat="1" x14ac:dyDescent="0.3">
      <c r="Q719" s="31"/>
      <c r="R719" s="32"/>
    </row>
    <row r="720" spans="1:20" x14ac:dyDescent="0.3">
      <c r="A720" s="35"/>
    </row>
    <row r="721" spans="1:18" s="34" customFormat="1" x14ac:dyDescent="0.3">
      <c r="Q721" s="51"/>
      <c r="R721" s="52"/>
    </row>
    <row r="722" spans="1:18" x14ac:dyDescent="0.3">
      <c r="A722" s="35"/>
    </row>
    <row r="723" spans="1:18" x14ac:dyDescent="0.3">
      <c r="A723" s="35"/>
    </row>
    <row r="724" spans="1:18" x14ac:dyDescent="0.3">
      <c r="A724" s="35"/>
    </row>
    <row r="725" spans="1:18" x14ac:dyDescent="0.3">
      <c r="A725" s="35"/>
    </row>
    <row r="726" spans="1:18" x14ac:dyDescent="0.3">
      <c r="A726" s="35"/>
      <c r="B726" s="47"/>
    </row>
    <row r="727" spans="1:18" x14ac:dyDescent="0.3">
      <c r="A727" s="35"/>
    </row>
    <row r="728" spans="1:18" x14ac:dyDescent="0.3">
      <c r="A728" s="35"/>
    </row>
    <row r="729" spans="1:18" x14ac:dyDescent="0.3">
      <c r="A729" s="35"/>
      <c r="B729" s="47"/>
    </row>
    <row r="730" spans="1:18" x14ac:dyDescent="0.3">
      <c r="A730" s="35"/>
      <c r="B730" s="59"/>
    </row>
    <row r="731" spans="1:18" x14ac:dyDescent="0.3">
      <c r="A731" s="35"/>
      <c r="B731" s="59"/>
    </row>
    <row r="732" spans="1:18" x14ac:dyDescent="0.3">
      <c r="A732" s="35"/>
      <c r="B732" s="59"/>
    </row>
    <row r="733" spans="1:18" x14ac:dyDescent="0.3">
      <c r="A733" s="35"/>
      <c r="B733" s="59"/>
    </row>
    <row r="734" spans="1:18" x14ac:dyDescent="0.3">
      <c r="A734" s="35"/>
      <c r="B734" s="59"/>
    </row>
    <row r="735" spans="1:18" x14ac:dyDescent="0.3">
      <c r="A735" s="35"/>
    </row>
    <row r="736" spans="1:18" s="34" customFormat="1" x14ac:dyDescent="0.3">
      <c r="Q736" s="51"/>
      <c r="R736" s="52"/>
    </row>
    <row r="737" spans="1:20" x14ac:dyDescent="0.3">
      <c r="A737" s="35"/>
    </row>
    <row r="738" spans="1:20" x14ac:dyDescent="0.3">
      <c r="A738" s="35"/>
    </row>
    <row r="739" spans="1:20" x14ac:dyDescent="0.3">
      <c r="A739" s="35"/>
    </row>
    <row r="740" spans="1:20" x14ac:dyDescent="0.3">
      <c r="A740" s="35"/>
      <c r="T740" s="58"/>
    </row>
    <row r="741" spans="1:20" x14ac:dyDescent="0.3">
      <c r="A741" s="35"/>
    </row>
    <row r="742" spans="1:20" x14ac:dyDescent="0.3">
      <c r="A742" s="35"/>
      <c r="S742" s="58"/>
    </row>
    <row r="743" spans="1:20" x14ac:dyDescent="0.3">
      <c r="A743" s="35"/>
      <c r="S743" s="58"/>
    </row>
    <row r="744" spans="1:20" x14ac:dyDescent="0.3">
      <c r="A744" s="35"/>
      <c r="B744" s="47"/>
    </row>
    <row r="745" spans="1:20" x14ac:dyDescent="0.3">
      <c r="A745" s="35"/>
    </row>
    <row r="746" spans="1:20" x14ac:dyDescent="0.3">
      <c r="A746" s="35"/>
    </row>
    <row r="747" spans="1:20" x14ac:dyDescent="0.3">
      <c r="A747" s="35"/>
    </row>
    <row r="748" spans="1:20" s="33" customFormat="1" x14ac:dyDescent="0.3">
      <c r="Q748" s="31"/>
      <c r="R748" s="32"/>
    </row>
    <row r="749" spans="1:20" x14ac:dyDescent="0.3">
      <c r="A749" s="35"/>
    </row>
    <row r="750" spans="1:20" x14ac:dyDescent="0.3">
      <c r="A750" s="35"/>
    </row>
    <row r="751" spans="1:20" x14ac:dyDescent="0.3">
      <c r="A751" s="35"/>
    </row>
    <row r="752" spans="1:20" x14ac:dyDescent="0.3">
      <c r="A752" s="35"/>
    </row>
    <row r="753" spans="1:18" x14ac:dyDescent="0.3">
      <c r="A753" s="35"/>
    </row>
    <row r="754" spans="1:18" x14ac:dyDescent="0.3">
      <c r="A754" s="35"/>
    </row>
    <row r="755" spans="1:18" x14ac:dyDescent="0.3">
      <c r="A755" s="35"/>
    </row>
    <row r="756" spans="1:18" x14ac:dyDescent="0.3">
      <c r="A756" s="35"/>
    </row>
    <row r="757" spans="1:18" s="33" customFormat="1" x14ac:dyDescent="0.3">
      <c r="Q757" s="31"/>
      <c r="R757" s="32"/>
    </row>
    <row r="758" spans="1:18" x14ac:dyDescent="0.3">
      <c r="A758" s="35"/>
      <c r="B758" s="47"/>
    </row>
    <row r="759" spans="1:18" x14ac:dyDescent="0.3">
      <c r="A759" s="35"/>
    </row>
    <row r="760" spans="1:18" x14ac:dyDescent="0.3">
      <c r="A760" s="35"/>
    </row>
    <row r="761" spans="1:18" x14ac:dyDescent="0.3">
      <c r="A761" s="35"/>
    </row>
    <row r="762" spans="1:18" x14ac:dyDescent="0.3">
      <c r="A762" s="35"/>
    </row>
    <row r="763" spans="1:18" x14ac:dyDescent="0.3">
      <c r="A763" s="35"/>
    </row>
    <row r="764" spans="1:18" x14ac:dyDescent="0.3">
      <c r="A764" s="35"/>
    </row>
    <row r="765" spans="1:18" x14ac:dyDescent="0.3">
      <c r="A765" s="35"/>
    </row>
    <row r="766" spans="1:18" x14ac:dyDescent="0.3">
      <c r="A766" s="35"/>
    </row>
    <row r="767" spans="1:18" x14ac:dyDescent="0.3">
      <c r="A767" s="35"/>
      <c r="B767" s="47"/>
    </row>
    <row r="768" spans="1:18" x14ac:dyDescent="0.3">
      <c r="A768" s="35"/>
    </row>
    <row r="769" spans="1:18" s="33" customFormat="1" x14ac:dyDescent="0.3">
      <c r="Q769" s="31"/>
      <c r="R769" s="32"/>
    </row>
    <row r="770" spans="1:18" x14ac:dyDescent="0.3">
      <c r="A770" s="35"/>
    </row>
    <row r="771" spans="1:18" x14ac:dyDescent="0.3">
      <c r="A771" s="35"/>
    </row>
    <row r="772" spans="1:18" x14ac:dyDescent="0.3">
      <c r="A772" s="35"/>
    </row>
    <row r="773" spans="1:18" x14ac:dyDescent="0.3">
      <c r="A773" s="35"/>
    </row>
    <row r="774" spans="1:18" x14ac:dyDescent="0.3">
      <c r="A774" s="35"/>
    </row>
    <row r="775" spans="1:18" x14ac:dyDescent="0.3">
      <c r="A775" s="35"/>
      <c r="B775" s="59"/>
    </row>
    <row r="776" spans="1:18" x14ac:dyDescent="0.3">
      <c r="A776" s="35"/>
    </row>
    <row r="777" spans="1:18" x14ac:dyDescent="0.3">
      <c r="A777" s="35"/>
    </row>
    <row r="778" spans="1:18" x14ac:dyDescent="0.3">
      <c r="A778" s="35"/>
    </row>
    <row r="779" spans="1:18" s="33" customFormat="1" x14ac:dyDescent="0.3">
      <c r="Q779" s="31"/>
      <c r="R779" s="32"/>
    </row>
    <row r="780" spans="1:18" x14ac:dyDescent="0.3">
      <c r="A780" s="35"/>
      <c r="B780" s="47"/>
    </row>
    <row r="781" spans="1:18" x14ac:dyDescent="0.3">
      <c r="A781" s="35"/>
    </row>
    <row r="782" spans="1:18" x14ac:dyDescent="0.3">
      <c r="A782" s="35"/>
    </row>
    <row r="783" spans="1:18" x14ac:dyDescent="0.3">
      <c r="A783" s="35"/>
    </row>
    <row r="784" spans="1:18" x14ac:dyDescent="0.3">
      <c r="A784" s="35"/>
    </row>
    <row r="785" spans="1:18" x14ac:dyDescent="0.3">
      <c r="A785" s="35"/>
    </row>
    <row r="786" spans="1:18" x14ac:dyDescent="0.3">
      <c r="A786" s="35"/>
    </row>
    <row r="787" spans="1:18" x14ac:dyDescent="0.3">
      <c r="A787" s="35"/>
    </row>
    <row r="788" spans="1:18" x14ac:dyDescent="0.3">
      <c r="A788" s="35"/>
    </row>
    <row r="789" spans="1:18" x14ac:dyDescent="0.3">
      <c r="A789" s="35"/>
      <c r="B789" s="59"/>
    </row>
    <row r="790" spans="1:18" x14ac:dyDescent="0.3">
      <c r="A790" s="35"/>
    </row>
    <row r="791" spans="1:18" x14ac:dyDescent="0.3">
      <c r="A791" s="35"/>
    </row>
    <row r="792" spans="1:18" x14ac:dyDescent="0.3">
      <c r="A792" s="35"/>
      <c r="B792" s="47"/>
    </row>
    <row r="793" spans="1:18" s="33" customFormat="1" x14ac:dyDescent="0.3">
      <c r="Q793" s="31"/>
      <c r="R793" s="32"/>
    </row>
    <row r="794" spans="1:18" x14ac:dyDescent="0.3">
      <c r="A794" s="35"/>
    </row>
    <row r="795" spans="1:18" x14ac:dyDescent="0.3">
      <c r="A795" s="35"/>
    </row>
    <row r="796" spans="1:18" x14ac:dyDescent="0.3">
      <c r="A796" s="35"/>
    </row>
    <row r="797" spans="1:18" x14ac:dyDescent="0.3">
      <c r="A797" s="35"/>
    </row>
    <row r="798" spans="1:18" x14ac:dyDescent="0.3">
      <c r="A798" s="35"/>
    </row>
    <row r="799" spans="1:18" x14ac:dyDescent="0.3">
      <c r="A799" s="35"/>
    </row>
    <row r="800" spans="1:18" x14ac:dyDescent="0.3">
      <c r="A800" s="35"/>
      <c r="B800" s="59"/>
    </row>
    <row r="801" spans="1:18" x14ac:dyDescent="0.3">
      <c r="A801" s="35"/>
    </row>
    <row r="802" spans="1:18" x14ac:dyDescent="0.3">
      <c r="A802" s="35"/>
      <c r="B802" s="47"/>
    </row>
    <row r="803" spans="1:18" x14ac:dyDescent="0.3">
      <c r="A803" s="35"/>
    </row>
    <row r="804" spans="1:18" x14ac:dyDescent="0.3">
      <c r="A804" s="35"/>
    </row>
    <row r="805" spans="1:18" x14ac:dyDescent="0.3">
      <c r="A805" s="35"/>
      <c r="B805" s="47"/>
    </row>
    <row r="806" spans="1:18" x14ac:dyDescent="0.3">
      <c r="A806" s="35"/>
    </row>
    <row r="807" spans="1:18" x14ac:dyDescent="0.3">
      <c r="A807" s="35"/>
    </row>
    <row r="808" spans="1:18" s="33" customFormat="1" x14ac:dyDescent="0.3">
      <c r="Q808" s="31"/>
      <c r="R808" s="32"/>
    </row>
    <row r="809" spans="1:18" x14ac:dyDescent="0.3">
      <c r="A809" s="35"/>
    </row>
    <row r="810" spans="1:18" x14ac:dyDescent="0.3">
      <c r="A810" s="35"/>
    </row>
    <row r="811" spans="1:18" x14ac:dyDescent="0.3">
      <c r="A811" s="35"/>
      <c r="B811" s="47"/>
    </row>
    <row r="812" spans="1:18" x14ac:dyDescent="0.3">
      <c r="A812" s="35"/>
    </row>
    <row r="813" spans="1:18" x14ac:dyDescent="0.3">
      <c r="A813" s="35"/>
    </row>
    <row r="814" spans="1:18" x14ac:dyDescent="0.3">
      <c r="A814" s="35"/>
    </row>
    <row r="815" spans="1:18" x14ac:dyDescent="0.3">
      <c r="A815" s="35"/>
    </row>
    <row r="816" spans="1:18" x14ac:dyDescent="0.3">
      <c r="A816" s="35"/>
    </row>
    <row r="817" spans="1:20" s="33" customFormat="1" x14ac:dyDescent="0.3">
      <c r="Q817" s="31"/>
      <c r="R817" s="32"/>
    </row>
    <row r="818" spans="1:20" x14ac:dyDescent="0.3">
      <c r="A818" s="35"/>
      <c r="T818" s="58"/>
    </row>
    <row r="819" spans="1:20" x14ac:dyDescent="0.3">
      <c r="A819" s="35"/>
    </row>
    <row r="820" spans="1:20" x14ac:dyDescent="0.3">
      <c r="A820" s="35"/>
    </row>
    <row r="821" spans="1:20" x14ac:dyDescent="0.3">
      <c r="A821" s="35"/>
    </row>
    <row r="822" spans="1:20" x14ac:dyDescent="0.3">
      <c r="A822" s="35"/>
      <c r="B822" s="47"/>
    </row>
    <row r="823" spans="1:20" x14ac:dyDescent="0.3">
      <c r="A823" s="35"/>
    </row>
    <row r="824" spans="1:20" x14ac:dyDescent="0.3">
      <c r="A824" s="35"/>
    </row>
    <row r="825" spans="1:20" x14ac:dyDescent="0.3">
      <c r="A825" s="35"/>
    </row>
    <row r="826" spans="1:20" x14ac:dyDescent="0.3">
      <c r="A826" s="35"/>
    </row>
    <row r="827" spans="1:20" s="33" customFormat="1" x14ac:dyDescent="0.3">
      <c r="Q827" s="31"/>
      <c r="R827" s="32"/>
    </row>
    <row r="828" spans="1:20" x14ac:dyDescent="0.3">
      <c r="A828" s="35"/>
    </row>
    <row r="829" spans="1:20" x14ac:dyDescent="0.3">
      <c r="A829" s="35"/>
    </row>
    <row r="830" spans="1:20" x14ac:dyDescent="0.3">
      <c r="A830" s="35"/>
    </row>
    <row r="831" spans="1:20" x14ac:dyDescent="0.3">
      <c r="A831" s="35"/>
    </row>
    <row r="832" spans="1:20" x14ac:dyDescent="0.3">
      <c r="A832" s="35"/>
    </row>
    <row r="833" spans="1:18" x14ac:dyDescent="0.3">
      <c r="A833" s="35"/>
    </row>
    <row r="834" spans="1:18" x14ac:dyDescent="0.3">
      <c r="A834" s="35"/>
    </row>
    <row r="835" spans="1:18" x14ac:dyDescent="0.3">
      <c r="A835" s="35"/>
      <c r="B835" s="47"/>
    </row>
    <row r="836" spans="1:18" s="33" customFormat="1" x14ac:dyDescent="0.3">
      <c r="Q836" s="31"/>
      <c r="R836" s="32"/>
    </row>
    <row r="837" spans="1:18" x14ac:dyDescent="0.3">
      <c r="A837" s="35"/>
    </row>
    <row r="838" spans="1:18" x14ac:dyDescent="0.3">
      <c r="A838" s="35"/>
    </row>
    <row r="839" spans="1:18" x14ac:dyDescent="0.3">
      <c r="A839" s="35"/>
    </row>
    <row r="840" spans="1:18" x14ac:dyDescent="0.3">
      <c r="A840" s="35"/>
    </row>
    <row r="841" spans="1:18" x14ac:dyDescent="0.3">
      <c r="A841" s="35"/>
    </row>
    <row r="842" spans="1:18" x14ac:dyDescent="0.3">
      <c r="A842" s="35"/>
    </row>
    <row r="843" spans="1:18" x14ac:dyDescent="0.3">
      <c r="A843" s="35"/>
    </row>
    <row r="844" spans="1:18" x14ac:dyDescent="0.3">
      <c r="A844" s="35"/>
    </row>
    <row r="845" spans="1:18" x14ac:dyDescent="0.3">
      <c r="A845" s="35"/>
    </row>
    <row r="846" spans="1:18" x14ac:dyDescent="0.3">
      <c r="A846" s="35"/>
    </row>
    <row r="847" spans="1:18" s="33" customFormat="1" x14ac:dyDescent="0.3">
      <c r="Q847" s="31"/>
      <c r="R847" s="32"/>
    </row>
    <row r="848" spans="1:18" x14ac:dyDescent="0.3">
      <c r="A848" s="35"/>
      <c r="B848" s="47"/>
    </row>
    <row r="849" spans="1:18" x14ac:dyDescent="0.3">
      <c r="A849" s="35"/>
    </row>
    <row r="850" spans="1:18" x14ac:dyDescent="0.3">
      <c r="A850" s="35"/>
    </row>
    <row r="851" spans="1:18" x14ac:dyDescent="0.3">
      <c r="A851" s="35"/>
    </row>
    <row r="852" spans="1:18" x14ac:dyDescent="0.3">
      <c r="A852" s="35"/>
      <c r="B852" s="47"/>
    </row>
    <row r="853" spans="1:18" x14ac:dyDescent="0.3">
      <c r="A853" s="35"/>
    </row>
    <row r="854" spans="1:18" x14ac:dyDescent="0.3">
      <c r="A854" s="35"/>
    </row>
    <row r="855" spans="1:18" x14ac:dyDescent="0.3">
      <c r="A855" s="35"/>
    </row>
    <row r="856" spans="1:18" x14ac:dyDescent="0.3">
      <c r="A856" s="35"/>
    </row>
    <row r="857" spans="1:18" s="33" customFormat="1" x14ac:dyDescent="0.3">
      <c r="Q857" s="31"/>
      <c r="R857" s="32"/>
    </row>
    <row r="858" spans="1:18" x14ac:dyDescent="0.3">
      <c r="A858" s="35"/>
      <c r="B858" s="47"/>
    </row>
    <row r="859" spans="1:18" x14ac:dyDescent="0.3">
      <c r="A859" s="35"/>
    </row>
    <row r="860" spans="1:18" x14ac:dyDescent="0.3">
      <c r="A860" s="35"/>
    </row>
    <row r="861" spans="1:18" x14ac:dyDescent="0.3">
      <c r="A861" s="35"/>
    </row>
    <row r="862" spans="1:18" x14ac:dyDescent="0.3">
      <c r="A862" s="35"/>
    </row>
    <row r="863" spans="1:18" x14ac:dyDescent="0.3">
      <c r="A863" s="35"/>
    </row>
    <row r="864" spans="1:18" x14ac:dyDescent="0.3">
      <c r="A864" s="35"/>
      <c r="B864" s="47"/>
    </row>
    <row r="865" spans="1:18" x14ac:dyDescent="0.3">
      <c r="A865" s="35"/>
      <c r="B865" s="47"/>
    </row>
    <row r="866" spans="1:18" x14ac:dyDescent="0.3">
      <c r="A866" s="35"/>
    </row>
    <row r="867" spans="1:18" s="33" customFormat="1" x14ac:dyDescent="0.3">
      <c r="Q867" s="31"/>
      <c r="R867" s="32"/>
    </row>
    <row r="868" spans="1:18" x14ac:dyDescent="0.3">
      <c r="A868" s="35"/>
    </row>
    <row r="869" spans="1:18" x14ac:dyDescent="0.3">
      <c r="A869" s="35"/>
    </row>
    <row r="870" spans="1:18" x14ac:dyDescent="0.3">
      <c r="A870" s="35"/>
    </row>
    <row r="871" spans="1:18" x14ac:dyDescent="0.3">
      <c r="A871" s="35"/>
      <c r="B871" s="47"/>
    </row>
    <row r="872" spans="1:18" x14ac:dyDescent="0.3">
      <c r="A872" s="35"/>
    </row>
    <row r="873" spans="1:18" s="33" customFormat="1" x14ac:dyDescent="0.3">
      <c r="Q873" s="31"/>
      <c r="R873" s="32"/>
    </row>
    <row r="874" spans="1:18" x14ac:dyDescent="0.3">
      <c r="A874" s="35"/>
    </row>
    <row r="875" spans="1:18" x14ac:dyDescent="0.3">
      <c r="A875" s="35"/>
    </row>
    <row r="876" spans="1:18" x14ac:dyDescent="0.3">
      <c r="A876" s="35"/>
    </row>
    <row r="877" spans="1:18" x14ac:dyDescent="0.3">
      <c r="A877" s="35"/>
    </row>
    <row r="878" spans="1:18" x14ac:dyDescent="0.3">
      <c r="A878" s="35"/>
    </row>
    <row r="879" spans="1:18" x14ac:dyDescent="0.3">
      <c r="A879" s="35"/>
      <c r="B879" s="47"/>
    </row>
    <row r="880" spans="1:18" x14ac:dyDescent="0.3">
      <c r="A880" s="35"/>
    </row>
    <row r="881" spans="1:18" x14ac:dyDescent="0.3">
      <c r="A881" s="35"/>
    </row>
    <row r="882" spans="1:18" x14ac:dyDescent="0.3">
      <c r="A882" s="35"/>
    </row>
    <row r="883" spans="1:18" x14ac:dyDescent="0.3">
      <c r="A883" s="35"/>
      <c r="B883" s="47"/>
    </row>
    <row r="884" spans="1:18" s="33" customFormat="1" x14ac:dyDescent="0.3">
      <c r="B884" s="48"/>
      <c r="Q884" s="31"/>
      <c r="R884" s="32"/>
    </row>
    <row r="885" spans="1:18" x14ac:dyDescent="0.3">
      <c r="A885" s="35"/>
    </row>
    <row r="886" spans="1:18" x14ac:dyDescent="0.3">
      <c r="A886" s="35"/>
    </row>
    <row r="887" spans="1:18" x14ac:dyDescent="0.3">
      <c r="A887" s="35"/>
    </row>
    <row r="888" spans="1:18" x14ac:dyDescent="0.3">
      <c r="A888" s="35"/>
    </row>
    <row r="889" spans="1:18" x14ac:dyDescent="0.3">
      <c r="A889" s="35"/>
    </row>
    <row r="890" spans="1:18" x14ac:dyDescent="0.3">
      <c r="A890" s="35"/>
    </row>
    <row r="891" spans="1:18" s="33" customFormat="1" x14ac:dyDescent="0.3">
      <c r="Q891" s="31"/>
      <c r="R891" s="32"/>
    </row>
    <row r="892" spans="1:18" x14ac:dyDescent="0.3">
      <c r="A892" s="35"/>
    </row>
    <row r="893" spans="1:18" x14ac:dyDescent="0.3">
      <c r="A893" s="35"/>
    </row>
    <row r="894" spans="1:18" x14ac:dyDescent="0.3">
      <c r="A894" s="35"/>
    </row>
    <row r="895" spans="1:18" x14ac:dyDescent="0.3">
      <c r="A895" s="35"/>
    </row>
    <row r="896" spans="1:18" x14ac:dyDescent="0.3">
      <c r="A896" s="35"/>
    </row>
    <row r="897" spans="1:18" x14ac:dyDescent="0.3">
      <c r="A897" s="35"/>
    </row>
    <row r="898" spans="1:18" x14ac:dyDescent="0.3">
      <c r="A898" s="35"/>
    </row>
    <row r="899" spans="1:18" s="33" customFormat="1" x14ac:dyDescent="0.3">
      <c r="Q899" s="31"/>
      <c r="R899" s="32"/>
    </row>
    <row r="900" spans="1:18" x14ac:dyDescent="0.3">
      <c r="A900" s="35"/>
    </row>
    <row r="901" spans="1:18" x14ac:dyDescent="0.3">
      <c r="A901" s="35"/>
    </row>
    <row r="902" spans="1:18" x14ac:dyDescent="0.3">
      <c r="A902" s="35"/>
      <c r="R902" s="27"/>
    </row>
    <row r="903" spans="1:18" s="33" customFormat="1" x14ac:dyDescent="0.3">
      <c r="Q903" s="31"/>
      <c r="R903" s="32"/>
    </row>
    <row r="904" spans="1:18" x14ac:dyDescent="0.3">
      <c r="A904" s="35"/>
    </row>
    <row r="905" spans="1:18" x14ac:dyDescent="0.3">
      <c r="A905" s="35"/>
    </row>
    <row r="906" spans="1:18" x14ac:dyDescent="0.3">
      <c r="A906" s="35"/>
    </row>
    <row r="907" spans="1:18" x14ac:dyDescent="0.3">
      <c r="A907" s="35"/>
    </row>
    <row r="908" spans="1:18" x14ac:dyDescent="0.3">
      <c r="A908" s="35"/>
      <c r="B908" s="47"/>
    </row>
    <row r="909" spans="1:18" x14ac:dyDescent="0.3">
      <c r="A909" s="35"/>
    </row>
    <row r="910" spans="1:18" s="33" customFormat="1" x14ac:dyDescent="0.3">
      <c r="Q910" s="31"/>
      <c r="R910" s="32"/>
    </row>
    <row r="911" spans="1:18" x14ac:dyDescent="0.3">
      <c r="A911" s="35"/>
    </row>
    <row r="912" spans="1:18" x14ac:dyDescent="0.3">
      <c r="A912" s="35"/>
    </row>
    <row r="913" spans="1:18" x14ac:dyDescent="0.3">
      <c r="A913" s="35"/>
    </row>
    <row r="914" spans="1:18" x14ac:dyDescent="0.3">
      <c r="A914" s="35"/>
      <c r="B914" s="47"/>
    </row>
    <row r="915" spans="1:18" x14ac:dyDescent="0.3">
      <c r="A915" s="35"/>
    </row>
    <row r="916" spans="1:18" s="33" customFormat="1" x14ac:dyDescent="0.3">
      <c r="Q916" s="31"/>
      <c r="R916" s="32"/>
    </row>
    <row r="917" spans="1:18" x14ac:dyDescent="0.3">
      <c r="A917" s="35"/>
    </row>
    <row r="918" spans="1:18" x14ac:dyDescent="0.3">
      <c r="A918" s="35"/>
    </row>
    <row r="919" spans="1:18" x14ac:dyDescent="0.3">
      <c r="A919" s="35"/>
    </row>
    <row r="920" spans="1:18" x14ac:dyDescent="0.3">
      <c r="A920" s="35"/>
    </row>
    <row r="921" spans="1:18" x14ac:dyDescent="0.3">
      <c r="A921" s="35"/>
      <c r="B921" s="47"/>
    </row>
    <row r="922" spans="1:18" x14ac:dyDescent="0.3">
      <c r="A922" s="35"/>
    </row>
    <row r="923" spans="1:18" x14ac:dyDescent="0.3">
      <c r="A923" s="35"/>
    </row>
    <row r="924" spans="1:18" s="33" customFormat="1" x14ac:dyDescent="0.3">
      <c r="A924" s="53"/>
      <c r="Q924" s="31"/>
      <c r="R924" s="32"/>
    </row>
    <row r="925" spans="1:18" x14ac:dyDescent="0.3">
      <c r="A925" s="35"/>
    </row>
    <row r="926" spans="1:18" x14ac:dyDescent="0.3">
      <c r="A926" s="35"/>
    </row>
    <row r="927" spans="1:18" x14ac:dyDescent="0.3">
      <c r="A927" s="35"/>
    </row>
    <row r="928" spans="1:18" x14ac:dyDescent="0.3">
      <c r="A928" s="35"/>
    </row>
    <row r="929" spans="1:18" x14ac:dyDescent="0.3">
      <c r="A929" s="35"/>
      <c r="B929" s="47"/>
    </row>
    <row r="930" spans="1:18" s="33" customFormat="1" x14ac:dyDescent="0.3">
      <c r="Q930" s="31"/>
      <c r="R930" s="32"/>
    </row>
    <row r="931" spans="1:18" x14ac:dyDescent="0.3">
      <c r="A931" s="35"/>
    </row>
    <row r="932" spans="1:18" x14ac:dyDescent="0.3">
      <c r="A932" s="35"/>
    </row>
    <row r="933" spans="1:18" x14ac:dyDescent="0.3">
      <c r="A933" s="35"/>
    </row>
    <row r="934" spans="1:18" x14ac:dyDescent="0.3">
      <c r="A934" s="35"/>
    </row>
    <row r="935" spans="1:18" x14ac:dyDescent="0.3">
      <c r="A935" s="35"/>
    </row>
    <row r="936" spans="1:18" x14ac:dyDescent="0.3">
      <c r="A936" s="35"/>
    </row>
    <row r="937" spans="1:18" x14ac:dyDescent="0.3">
      <c r="A937" s="35"/>
    </row>
    <row r="938" spans="1:18" s="33" customFormat="1" x14ac:dyDescent="0.3">
      <c r="Q938" s="31"/>
      <c r="R938" s="32"/>
    </row>
    <row r="939" spans="1:18" x14ac:dyDescent="0.3">
      <c r="A939" s="35"/>
    </row>
    <row r="940" spans="1:18" x14ac:dyDescent="0.3">
      <c r="A940" s="35"/>
    </row>
    <row r="941" spans="1:18" x14ac:dyDescent="0.3">
      <c r="A941" s="35"/>
    </row>
    <row r="942" spans="1:18" x14ac:dyDescent="0.3">
      <c r="A942" s="35"/>
    </row>
    <row r="943" spans="1:18" x14ac:dyDescent="0.3">
      <c r="A943" s="35"/>
    </row>
    <row r="944" spans="1:18" x14ac:dyDescent="0.3">
      <c r="A944" s="35"/>
    </row>
    <row r="945" spans="1:20" x14ac:dyDescent="0.3">
      <c r="A945" s="35"/>
      <c r="B945" s="47"/>
    </row>
    <row r="946" spans="1:20" x14ac:dyDescent="0.3">
      <c r="A946" s="35"/>
    </row>
    <row r="947" spans="1:20" s="33" customFormat="1" x14ac:dyDescent="0.3">
      <c r="Q947" s="31"/>
      <c r="R947" s="32"/>
    </row>
    <row r="948" spans="1:20" x14ac:dyDescent="0.3">
      <c r="A948" s="35"/>
    </row>
    <row r="949" spans="1:20" x14ac:dyDescent="0.3">
      <c r="A949" s="35"/>
    </row>
    <row r="950" spans="1:20" x14ac:dyDescent="0.3">
      <c r="A950" s="35"/>
    </row>
    <row r="951" spans="1:20" s="33" customFormat="1" x14ac:dyDescent="0.3">
      <c r="Q951" s="31"/>
      <c r="R951" s="32"/>
    </row>
    <row r="952" spans="1:20" x14ac:dyDescent="0.3">
      <c r="A952" s="35"/>
    </row>
    <row r="953" spans="1:20" s="33" customFormat="1" x14ac:dyDescent="0.3">
      <c r="Q953" s="31"/>
      <c r="R953" s="32"/>
    </row>
    <row r="954" spans="1:20" x14ac:dyDescent="0.3">
      <c r="A954" s="35"/>
    </row>
    <row r="955" spans="1:20" x14ac:dyDescent="0.3">
      <c r="A955" s="35"/>
      <c r="B955" s="47"/>
    </row>
    <row r="956" spans="1:20" x14ac:dyDescent="0.3">
      <c r="A956" s="35"/>
    </row>
    <row r="957" spans="1:20" x14ac:dyDescent="0.3">
      <c r="A957" s="35"/>
    </row>
    <row r="958" spans="1:20" x14ac:dyDescent="0.3">
      <c r="A958" s="35"/>
    </row>
    <row r="959" spans="1:20" x14ac:dyDescent="0.3">
      <c r="A959" s="35"/>
    </row>
    <row r="960" spans="1:20" x14ac:dyDescent="0.3">
      <c r="A960" s="35"/>
      <c r="T960" s="58"/>
    </row>
    <row r="961" spans="1:18" s="33" customFormat="1" x14ac:dyDescent="0.3">
      <c r="Q961" s="31"/>
      <c r="R961" s="32"/>
    </row>
    <row r="962" spans="1:18" x14ac:dyDescent="0.3">
      <c r="A962" s="35"/>
    </row>
    <row r="963" spans="1:18" x14ac:dyDescent="0.3">
      <c r="A963" s="35"/>
    </row>
    <row r="964" spans="1:18" x14ac:dyDescent="0.3">
      <c r="A964" s="35"/>
    </row>
    <row r="965" spans="1:18" s="33" customFormat="1" x14ac:dyDescent="0.3">
      <c r="A965" s="53"/>
      <c r="Q965" s="31"/>
      <c r="R965" s="32"/>
    </row>
    <row r="966" spans="1:18" x14ac:dyDescent="0.3">
      <c r="A966" s="35"/>
    </row>
    <row r="967" spans="1:18" x14ac:dyDescent="0.3">
      <c r="A967" s="35"/>
    </row>
    <row r="968" spans="1:18" x14ac:dyDescent="0.3">
      <c r="A968" s="35"/>
    </row>
    <row r="969" spans="1:18" s="33" customFormat="1" x14ac:dyDescent="0.3">
      <c r="Q969" s="31"/>
      <c r="R969" s="32"/>
    </row>
    <row r="970" spans="1:18" x14ac:dyDescent="0.3">
      <c r="A970" s="35"/>
    </row>
    <row r="971" spans="1:18" x14ac:dyDescent="0.3">
      <c r="A971" s="35"/>
    </row>
    <row r="972" spans="1:18" x14ac:dyDescent="0.3">
      <c r="A972" s="35"/>
    </row>
    <row r="973" spans="1:18" x14ac:dyDescent="0.3">
      <c r="A973" s="35"/>
    </row>
    <row r="974" spans="1:18" x14ac:dyDescent="0.3">
      <c r="A974" s="35"/>
    </row>
    <row r="975" spans="1:18" s="33" customFormat="1" x14ac:dyDescent="0.3">
      <c r="Q975" s="31"/>
      <c r="R975" s="32"/>
    </row>
    <row r="976" spans="1:18" x14ac:dyDescent="0.3">
      <c r="A976" s="35"/>
    </row>
    <row r="977" spans="1:18" x14ac:dyDescent="0.3">
      <c r="A977" s="35"/>
    </row>
    <row r="978" spans="1:18" x14ac:dyDescent="0.3">
      <c r="A978" s="35"/>
    </row>
    <row r="979" spans="1:18" x14ac:dyDescent="0.3">
      <c r="A979" s="35"/>
    </row>
    <row r="980" spans="1:18" x14ac:dyDescent="0.3">
      <c r="A980" s="35"/>
    </row>
    <row r="981" spans="1:18" x14ac:dyDescent="0.3">
      <c r="A981" s="35"/>
    </row>
    <row r="982" spans="1:18" x14ac:dyDescent="0.3">
      <c r="A982" s="35"/>
    </row>
    <row r="983" spans="1:18" x14ac:dyDescent="0.3">
      <c r="A983" s="35"/>
    </row>
    <row r="984" spans="1:18" s="33" customFormat="1" x14ac:dyDescent="0.3">
      <c r="Q984" s="31"/>
      <c r="R984" s="32"/>
    </row>
    <row r="985" spans="1:18" x14ac:dyDescent="0.3">
      <c r="A985" s="35"/>
    </row>
    <row r="986" spans="1:18" x14ac:dyDescent="0.3">
      <c r="A986" s="35"/>
    </row>
    <row r="987" spans="1:18" x14ac:dyDescent="0.3">
      <c r="A987" s="35"/>
    </row>
    <row r="988" spans="1:18" x14ac:dyDescent="0.3">
      <c r="A988" s="35"/>
    </row>
    <row r="989" spans="1:18" x14ac:dyDescent="0.3">
      <c r="A989" s="35"/>
    </row>
    <row r="990" spans="1:18" x14ac:dyDescent="0.3">
      <c r="A990" s="35"/>
    </row>
    <row r="991" spans="1:18" s="33" customFormat="1" x14ac:dyDescent="0.3">
      <c r="Q991" s="31"/>
      <c r="R991" s="32"/>
    </row>
    <row r="992" spans="1:18" x14ac:dyDescent="0.3">
      <c r="A992" s="35"/>
    </row>
    <row r="993" spans="1:18" x14ac:dyDescent="0.3">
      <c r="A993" s="35"/>
    </row>
    <row r="994" spans="1:18" x14ac:dyDescent="0.3">
      <c r="A994" s="35"/>
    </row>
    <row r="995" spans="1:18" x14ac:dyDescent="0.3">
      <c r="A995" s="35"/>
    </row>
    <row r="996" spans="1:18" x14ac:dyDescent="0.3">
      <c r="A996" s="35"/>
    </row>
    <row r="997" spans="1:18" x14ac:dyDescent="0.3">
      <c r="A997" s="35"/>
      <c r="B997" s="47"/>
    </row>
    <row r="998" spans="1:18" x14ac:dyDescent="0.3">
      <c r="A998" s="35"/>
    </row>
    <row r="999" spans="1:18" x14ac:dyDescent="0.3">
      <c r="A999" s="35"/>
    </row>
    <row r="1000" spans="1:18" x14ac:dyDescent="0.3">
      <c r="A1000" s="35"/>
      <c r="B1000" s="59"/>
    </row>
    <row r="1001" spans="1:18" s="33" customFormat="1" x14ac:dyDescent="0.3">
      <c r="B1001" s="48"/>
      <c r="Q1001" s="31"/>
      <c r="R1001" s="32"/>
    </row>
    <row r="1002" spans="1:18" x14ac:dyDescent="0.3">
      <c r="A1002" s="35"/>
    </row>
    <row r="1003" spans="1:18" x14ac:dyDescent="0.3">
      <c r="A1003" s="35"/>
    </row>
    <row r="1004" spans="1:18" x14ac:dyDescent="0.3">
      <c r="A1004" s="35"/>
    </row>
    <row r="1005" spans="1:18" x14ac:dyDescent="0.3">
      <c r="A1005" s="35"/>
    </row>
    <row r="1006" spans="1:18" x14ac:dyDescent="0.3">
      <c r="A1006" s="35"/>
    </row>
    <row r="1007" spans="1:18" s="33" customFormat="1" x14ac:dyDescent="0.3">
      <c r="Q1007" s="31"/>
      <c r="R1007" s="32"/>
    </row>
    <row r="1008" spans="1:18" x14ac:dyDescent="0.3">
      <c r="A1008" s="35"/>
    </row>
    <row r="1009" spans="1:18" x14ac:dyDescent="0.3">
      <c r="A1009" s="35"/>
    </row>
    <row r="1010" spans="1:18" s="33" customFormat="1" x14ac:dyDescent="0.3">
      <c r="B1010" s="48"/>
      <c r="Q1010" s="31"/>
      <c r="R1010" s="32"/>
    </row>
    <row r="1011" spans="1:18" x14ac:dyDescent="0.3">
      <c r="A1011" s="35"/>
    </row>
    <row r="1012" spans="1:18" x14ac:dyDescent="0.3">
      <c r="A1012" s="35"/>
    </row>
    <row r="1013" spans="1:18" x14ac:dyDescent="0.3">
      <c r="A1013" s="35"/>
    </row>
    <row r="1014" spans="1:18" s="33" customFormat="1" x14ac:dyDescent="0.3">
      <c r="Q1014" s="31"/>
      <c r="R1014" s="32"/>
    </row>
    <row r="1015" spans="1:18" x14ac:dyDescent="0.3">
      <c r="A1015" s="35"/>
    </row>
    <row r="1016" spans="1:18" x14ac:dyDescent="0.3">
      <c r="A1016" s="35"/>
    </row>
    <row r="1017" spans="1:18" s="33" customFormat="1" x14ac:dyDescent="0.3">
      <c r="Q1017" s="31"/>
      <c r="R1017" s="32"/>
    </row>
    <row r="1018" spans="1:18" x14ac:dyDescent="0.3">
      <c r="A1018" s="35"/>
    </row>
    <row r="1019" spans="1:18" s="33" customFormat="1" x14ac:dyDescent="0.3">
      <c r="A1019" s="53"/>
      <c r="Q1019" s="31"/>
      <c r="R1019" s="32"/>
    </row>
    <row r="1020" spans="1:18" x14ac:dyDescent="0.3">
      <c r="A1020" s="35"/>
    </row>
    <row r="1021" spans="1:18" s="33" customFormat="1" x14ac:dyDescent="0.3">
      <c r="Q1021" s="31"/>
      <c r="R1021" s="32"/>
    </row>
    <row r="1022" spans="1:18" x14ac:dyDescent="0.3">
      <c r="A1022" s="35"/>
    </row>
    <row r="1023" spans="1:18" x14ac:dyDescent="0.3">
      <c r="A1023" s="35"/>
    </row>
    <row r="1024" spans="1:18" x14ac:dyDescent="0.3">
      <c r="A1024" s="35"/>
    </row>
    <row r="1025" spans="1:19" x14ac:dyDescent="0.3">
      <c r="A1025" s="35"/>
    </row>
    <row r="1026" spans="1:19" x14ac:dyDescent="0.3">
      <c r="A1026" s="35"/>
    </row>
    <row r="1027" spans="1:19" s="33" customFormat="1" x14ac:dyDescent="0.3">
      <c r="Q1027" s="31"/>
      <c r="R1027" s="32"/>
    </row>
    <row r="1028" spans="1:19" x14ac:dyDescent="0.3">
      <c r="A1028" s="35"/>
    </row>
    <row r="1029" spans="1:19" x14ac:dyDescent="0.3">
      <c r="A1029" s="35"/>
      <c r="S1029" s="58"/>
    </row>
    <row r="1030" spans="1:19" x14ac:dyDescent="0.3">
      <c r="A1030" s="35"/>
    </row>
    <row r="1031" spans="1:19" s="33" customFormat="1" x14ac:dyDescent="0.3">
      <c r="Q1031" s="31"/>
      <c r="R1031" s="32"/>
    </row>
    <row r="1032" spans="1:19" x14ac:dyDescent="0.3">
      <c r="A1032" s="35"/>
    </row>
    <row r="1033" spans="1:19" x14ac:dyDescent="0.3">
      <c r="A1033" s="35"/>
      <c r="B1033" s="47"/>
    </row>
    <row r="1034" spans="1:19" x14ac:dyDescent="0.3">
      <c r="A1034" s="35"/>
    </row>
    <row r="1035" spans="1:19" x14ac:dyDescent="0.3">
      <c r="A1035" s="35"/>
    </row>
    <row r="1036" spans="1:19" s="33" customFormat="1" x14ac:dyDescent="0.3">
      <c r="Q1036" s="31"/>
      <c r="R1036" s="32"/>
    </row>
    <row r="1037" spans="1:19" x14ac:dyDescent="0.3">
      <c r="A1037" s="35"/>
    </row>
    <row r="1038" spans="1:19" x14ac:dyDescent="0.3">
      <c r="A1038" s="35"/>
    </row>
    <row r="1039" spans="1:19" x14ac:dyDescent="0.3">
      <c r="A1039" s="35"/>
    </row>
    <row r="1040" spans="1:19" s="33" customFormat="1" x14ac:dyDescent="0.3">
      <c r="Q1040" s="31"/>
      <c r="R1040" s="32"/>
    </row>
    <row r="1041" spans="1:18" x14ac:dyDescent="0.3">
      <c r="A1041" s="35"/>
    </row>
    <row r="1042" spans="1:18" x14ac:dyDescent="0.3">
      <c r="A1042" s="35"/>
    </row>
    <row r="1043" spans="1:18" x14ac:dyDescent="0.3">
      <c r="A1043" s="35"/>
    </row>
    <row r="1044" spans="1:18" x14ac:dyDescent="0.3">
      <c r="A1044" s="35"/>
    </row>
    <row r="1045" spans="1:18" s="33" customFormat="1" x14ac:dyDescent="0.3">
      <c r="Q1045" s="31"/>
      <c r="R1045" s="32"/>
    </row>
    <row r="1046" spans="1:18" x14ac:dyDescent="0.3">
      <c r="A1046" s="35"/>
    </row>
    <row r="1047" spans="1:18" x14ac:dyDescent="0.3">
      <c r="A1047" s="35"/>
    </row>
    <row r="1048" spans="1:18" x14ac:dyDescent="0.3">
      <c r="A1048" s="35"/>
    </row>
    <row r="1049" spans="1:18" x14ac:dyDescent="0.3">
      <c r="A1049" s="35"/>
    </row>
    <row r="1050" spans="1:18" s="33" customFormat="1" x14ac:dyDescent="0.3">
      <c r="Q1050" s="31"/>
      <c r="R1050" s="32"/>
    </row>
    <row r="1051" spans="1:18" x14ac:dyDescent="0.3">
      <c r="A1051" s="35"/>
    </row>
    <row r="1052" spans="1:18" x14ac:dyDescent="0.3">
      <c r="A1052" s="35"/>
    </row>
    <row r="1053" spans="1:18" s="33" customFormat="1" x14ac:dyDescent="0.3">
      <c r="Q1053" s="31"/>
      <c r="R1053" s="32"/>
    </row>
    <row r="1059" spans="1:18" s="33" customFormat="1" x14ac:dyDescent="0.3">
      <c r="Q1059" s="31"/>
      <c r="R1059" s="32"/>
    </row>
    <row r="1060" spans="1:18" x14ac:dyDescent="0.3">
      <c r="A1060" s="35"/>
    </row>
    <row r="1064" spans="1:18" x14ac:dyDescent="0.3">
      <c r="B1064" s="47"/>
    </row>
    <row r="1068" spans="1:18" s="33" customFormat="1" x14ac:dyDescent="0.3">
      <c r="Q1068" s="31"/>
      <c r="R1068" s="32"/>
    </row>
    <row r="1069" spans="1:18" x14ac:dyDescent="0.3">
      <c r="A1069" s="35"/>
    </row>
    <row r="1071" spans="1:18" x14ac:dyDescent="0.3">
      <c r="B1071" s="47"/>
    </row>
    <row r="1074" spans="1:18" s="33" customFormat="1" x14ac:dyDescent="0.3">
      <c r="Q1074" s="31"/>
      <c r="R1074" s="32"/>
    </row>
    <row r="1075" spans="1:18" x14ac:dyDescent="0.3">
      <c r="A1075" s="35"/>
      <c r="B1075" s="47"/>
    </row>
    <row r="1087" spans="1:18" s="33" customFormat="1" x14ac:dyDescent="0.3">
      <c r="Q1087" s="31"/>
      <c r="R1087" s="32"/>
    </row>
    <row r="1088" spans="1:18" x14ac:dyDescent="0.3">
      <c r="A1088" s="35"/>
      <c r="B1088" s="47"/>
    </row>
    <row r="1095" spans="1:18" s="33" customFormat="1" x14ac:dyDescent="0.3">
      <c r="Q1095" s="31"/>
      <c r="R1095" s="32"/>
    </row>
    <row r="1096" spans="1:18" x14ac:dyDescent="0.3">
      <c r="A1096" s="35"/>
      <c r="B1096" s="47"/>
    </row>
    <row r="1101" spans="1:18" s="33" customFormat="1" x14ac:dyDescent="0.3">
      <c r="Q1101" s="31"/>
      <c r="R1101" s="32"/>
    </row>
    <row r="1102" spans="1:18" x14ac:dyDescent="0.3">
      <c r="A1102" s="35"/>
    </row>
    <row r="1103" spans="1:18" x14ac:dyDescent="0.3">
      <c r="A1103" s="66"/>
    </row>
    <row r="1104" spans="1:18" x14ac:dyDescent="0.3">
      <c r="A1104" s="35"/>
      <c r="B1104" s="47"/>
    </row>
    <row r="1105" spans="1:18" x14ac:dyDescent="0.3">
      <c r="A1105" s="66"/>
    </row>
    <row r="1106" spans="1:18" x14ac:dyDescent="0.3">
      <c r="A1106" s="35"/>
    </row>
    <row r="1107" spans="1:18" x14ac:dyDescent="0.3">
      <c r="A1107" s="66"/>
    </row>
    <row r="1108" spans="1:18" x14ac:dyDescent="0.3">
      <c r="A1108" s="35"/>
    </row>
    <row r="1109" spans="1:18" x14ac:dyDescent="0.3">
      <c r="A1109" s="66"/>
    </row>
    <row r="1110" spans="1:18" x14ac:dyDescent="0.3">
      <c r="A1110" s="35"/>
    </row>
    <row r="1111" spans="1:18" s="54" customFormat="1" x14ac:dyDescent="0.3">
      <c r="Q1111" s="55"/>
      <c r="R1111" s="56"/>
    </row>
    <row r="1112" spans="1:18" x14ac:dyDescent="0.3">
      <c r="A1112" s="35"/>
    </row>
    <row r="1113" spans="1:18" x14ac:dyDescent="0.3">
      <c r="A1113" s="35"/>
      <c r="B1113" s="47"/>
    </row>
    <row r="1114" spans="1:18" x14ac:dyDescent="0.3">
      <c r="A1114" s="35"/>
      <c r="B1114" s="47"/>
    </row>
    <row r="1115" spans="1:18" x14ac:dyDescent="0.3">
      <c r="A1115" s="35"/>
    </row>
    <row r="1116" spans="1:18" x14ac:dyDescent="0.3">
      <c r="A1116" s="35"/>
    </row>
    <row r="1117" spans="1:18" x14ac:dyDescent="0.3">
      <c r="A1117" s="35"/>
    </row>
    <row r="1118" spans="1:18" x14ac:dyDescent="0.3">
      <c r="A1118" s="35"/>
    </row>
    <row r="1119" spans="1:18" x14ac:dyDescent="0.3">
      <c r="A1119" s="35"/>
    </row>
    <row r="1120" spans="1:18" x14ac:dyDescent="0.3">
      <c r="A1120" s="35"/>
    </row>
    <row r="1121" spans="1:18" x14ac:dyDescent="0.3">
      <c r="A1121" s="35"/>
    </row>
    <row r="1122" spans="1:18" s="54" customFormat="1" x14ac:dyDescent="0.3">
      <c r="Q1122" s="55"/>
      <c r="R1122" s="56"/>
    </row>
    <row r="1123" spans="1:18" x14ac:dyDescent="0.3">
      <c r="A1123" s="35"/>
    </row>
    <row r="1124" spans="1:18" x14ac:dyDescent="0.3">
      <c r="A1124" s="35"/>
      <c r="B1124" s="47"/>
    </row>
    <row r="1125" spans="1:18" x14ac:dyDescent="0.3">
      <c r="A1125" s="35"/>
    </row>
    <row r="1126" spans="1:18" x14ac:dyDescent="0.3">
      <c r="A1126" s="35"/>
    </row>
    <row r="1127" spans="1:18" x14ac:dyDescent="0.3">
      <c r="A1127" s="35"/>
    </row>
    <row r="1128" spans="1:18" x14ac:dyDescent="0.3">
      <c r="A1128" s="35"/>
    </row>
    <row r="1129" spans="1:18" x14ac:dyDescent="0.3">
      <c r="A1129" s="35"/>
    </row>
    <row r="1130" spans="1:18" x14ac:dyDescent="0.3">
      <c r="A1130" s="35"/>
    </row>
    <row r="1131" spans="1:18" x14ac:dyDescent="0.3">
      <c r="A1131" s="35"/>
    </row>
    <row r="1132" spans="1:18" x14ac:dyDescent="0.3">
      <c r="A1132" s="35"/>
    </row>
    <row r="1133" spans="1:18" x14ac:dyDescent="0.3">
      <c r="A1133" s="35"/>
    </row>
    <row r="1134" spans="1:18" s="54" customFormat="1" x14ac:dyDescent="0.3">
      <c r="Q1134" s="55"/>
      <c r="R1134" s="56"/>
    </row>
    <row r="1135" spans="1:18" x14ac:dyDescent="0.3">
      <c r="A1135" s="35"/>
    </row>
    <row r="1136" spans="1:18" x14ac:dyDescent="0.3">
      <c r="A1136" s="35"/>
    </row>
    <row r="1137" spans="1:18" x14ac:dyDescent="0.3">
      <c r="A1137" s="35"/>
    </row>
    <row r="1138" spans="1:18" x14ac:dyDescent="0.3">
      <c r="A1138" s="35"/>
    </row>
    <row r="1139" spans="1:18" x14ac:dyDescent="0.3">
      <c r="A1139" s="35"/>
    </row>
    <row r="1140" spans="1:18" x14ac:dyDescent="0.3">
      <c r="A1140" s="35"/>
    </row>
    <row r="1141" spans="1:18" x14ac:dyDescent="0.3">
      <c r="A1141" s="35"/>
    </row>
    <row r="1142" spans="1:18" x14ac:dyDescent="0.3">
      <c r="A1142" s="35"/>
      <c r="B1142" s="47"/>
    </row>
    <row r="1143" spans="1:18" x14ac:dyDescent="0.3">
      <c r="A1143" s="35"/>
    </row>
    <row r="1144" spans="1:18" x14ac:dyDescent="0.3">
      <c r="A1144" s="35"/>
    </row>
    <row r="1145" spans="1:18" x14ac:dyDescent="0.3">
      <c r="A1145" s="35"/>
    </row>
    <row r="1146" spans="1:18" x14ac:dyDescent="0.3">
      <c r="A1146" s="35"/>
    </row>
    <row r="1147" spans="1:18" x14ac:dyDescent="0.3">
      <c r="A1147" s="35"/>
    </row>
    <row r="1148" spans="1:18" x14ac:dyDescent="0.3">
      <c r="A1148" s="35"/>
    </row>
    <row r="1149" spans="1:18" s="54" customFormat="1" x14ac:dyDescent="0.3">
      <c r="Q1149" s="55"/>
      <c r="R1149" s="56"/>
    </row>
    <row r="1150" spans="1:18" x14ac:dyDescent="0.3">
      <c r="A1150" s="35"/>
    </row>
    <row r="1151" spans="1:18" x14ac:dyDescent="0.3">
      <c r="A1151" s="35"/>
    </row>
    <row r="1152" spans="1:18" x14ac:dyDescent="0.3">
      <c r="A1152" s="35"/>
    </row>
    <row r="1153" spans="1:18" x14ac:dyDescent="0.3">
      <c r="A1153" s="35"/>
    </row>
    <row r="1154" spans="1:18" x14ac:dyDescent="0.3">
      <c r="A1154" s="35"/>
    </row>
    <row r="1155" spans="1:18" x14ac:dyDescent="0.3">
      <c r="A1155" s="35"/>
    </row>
    <row r="1156" spans="1:18" x14ac:dyDescent="0.3">
      <c r="A1156" s="35"/>
    </row>
    <row r="1157" spans="1:18" x14ac:dyDescent="0.3">
      <c r="A1157" s="35"/>
    </row>
    <row r="1158" spans="1:18" x14ac:dyDescent="0.3">
      <c r="A1158" s="35"/>
    </row>
    <row r="1159" spans="1:18" x14ac:dyDescent="0.3">
      <c r="A1159" s="35"/>
    </row>
    <row r="1160" spans="1:18" x14ac:dyDescent="0.3">
      <c r="A1160" s="35"/>
    </row>
    <row r="1161" spans="1:18" x14ac:dyDescent="0.3">
      <c r="A1161" s="35"/>
    </row>
    <row r="1162" spans="1:18" x14ac:dyDescent="0.3">
      <c r="A1162" s="35"/>
    </row>
    <row r="1163" spans="1:18" x14ac:dyDescent="0.3">
      <c r="A1163" s="35"/>
    </row>
    <row r="1164" spans="1:18" x14ac:dyDescent="0.3">
      <c r="A1164" s="35"/>
    </row>
    <row r="1165" spans="1:18" s="54" customFormat="1" x14ac:dyDescent="0.3">
      <c r="Q1165" s="55"/>
      <c r="R1165" s="56"/>
    </row>
    <row r="1166" spans="1:18" x14ac:dyDescent="0.3">
      <c r="A1166" s="35"/>
    </row>
    <row r="1167" spans="1:18" x14ac:dyDescent="0.3">
      <c r="A1167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январь</vt:lpstr>
      <vt:lpstr>Февраль</vt:lpstr>
      <vt:lpstr>январь!Область_печати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2026-02-18T11:50:17Z</cp:lastPrinted>
  <dcterms:created xsi:type="dcterms:W3CDTF">2026-01-05T07:34:38Z</dcterms:created>
  <dcterms:modified xsi:type="dcterms:W3CDTF">2026-02-27T09:35:42Z</dcterms:modified>
</cp:coreProperties>
</file>