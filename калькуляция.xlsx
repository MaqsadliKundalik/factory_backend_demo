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производство документы\"/>
    </mc:Choice>
  </mc:AlternateContent>
  <xr:revisionPtr revIDLastSave="0" documentId="13_ncr:1_{CB29E0A6-99CC-4F1F-9786-0BDA185142C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январь " sheetId="1" r:id="rId1"/>
    <sheet name="февраль" sheetId="2" r:id="rId2"/>
    <sheet name="март 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9" i="3" s="1"/>
  <c r="C11" i="3" s="1"/>
  <c r="C8" i="3"/>
  <c r="C10" i="3" s="1"/>
  <c r="C6" i="3"/>
  <c r="B7" i="3"/>
  <c r="B9" i="3" s="1"/>
  <c r="B8" i="3"/>
  <c r="B10" i="3" s="1"/>
  <c r="J7" i="3"/>
  <c r="L7" i="3" s="1"/>
  <c r="B6" i="3"/>
  <c r="H38" i="3"/>
  <c r="G38" i="3"/>
  <c r="F38" i="3"/>
  <c r="E38" i="3"/>
  <c r="D38" i="3"/>
  <c r="C38" i="3"/>
  <c r="J38" i="3" s="1"/>
  <c r="L38" i="3" s="1"/>
  <c r="B38" i="3"/>
  <c r="H37" i="3"/>
  <c r="G37" i="3"/>
  <c r="F37" i="3"/>
  <c r="E37" i="3"/>
  <c r="D37" i="3"/>
  <c r="C37" i="3"/>
  <c r="J37" i="3" s="1"/>
  <c r="L37" i="3" s="1"/>
  <c r="B37" i="3"/>
  <c r="H36" i="3"/>
  <c r="G36" i="3"/>
  <c r="F36" i="3"/>
  <c r="E36" i="3"/>
  <c r="J36" i="3" s="1"/>
  <c r="L36" i="3" s="1"/>
  <c r="D36" i="3"/>
  <c r="C36" i="3"/>
  <c r="B36" i="3"/>
  <c r="H35" i="3"/>
  <c r="G35" i="3"/>
  <c r="F35" i="3"/>
  <c r="E35" i="3"/>
  <c r="D35" i="3"/>
  <c r="C35" i="3"/>
  <c r="J35" i="3" s="1"/>
  <c r="L35" i="3" s="1"/>
  <c r="B35" i="3"/>
  <c r="H34" i="3"/>
  <c r="G34" i="3"/>
  <c r="F34" i="3"/>
  <c r="E34" i="3"/>
  <c r="D34" i="3"/>
  <c r="C34" i="3"/>
  <c r="J34" i="3" s="1"/>
  <c r="L34" i="3" s="1"/>
  <c r="B34" i="3"/>
  <c r="J33" i="3"/>
  <c r="L33" i="3" s="1"/>
  <c r="H33" i="3"/>
  <c r="G33" i="3"/>
  <c r="F33" i="3"/>
  <c r="E33" i="3"/>
  <c r="D33" i="3"/>
  <c r="C33" i="3"/>
  <c r="B33" i="3"/>
  <c r="E29" i="3"/>
  <c r="G29" i="3" s="1"/>
  <c r="J24" i="3"/>
  <c r="L24" i="3" s="1"/>
  <c r="J23" i="3"/>
  <c r="L23" i="3" s="1"/>
  <c r="J22" i="3"/>
  <c r="L22" i="3" s="1"/>
  <c r="J21" i="3"/>
  <c r="L21" i="3" s="1"/>
  <c r="J20" i="3"/>
  <c r="L20" i="3" s="1"/>
  <c r="J19" i="3"/>
  <c r="L19" i="3" s="1"/>
  <c r="E15" i="3"/>
  <c r="G15" i="3" s="1"/>
  <c r="J8" i="3"/>
  <c r="L8" i="3" s="1"/>
  <c r="J6" i="3"/>
  <c r="L6" i="3" s="1"/>
  <c r="G2" i="3"/>
  <c r="B6" i="2"/>
  <c r="J6" i="2"/>
  <c r="J11" i="2"/>
  <c r="J7" i="2"/>
  <c r="J8" i="2"/>
  <c r="J9" i="2"/>
  <c r="J10" i="2"/>
  <c r="B11" i="2"/>
  <c r="B10" i="2"/>
  <c r="B9" i="2"/>
  <c r="B8" i="2"/>
  <c r="B7" i="2"/>
  <c r="E2" i="2"/>
  <c r="G2" i="2" s="1"/>
  <c r="H11" i="2"/>
  <c r="H10" i="2"/>
  <c r="H9" i="2"/>
  <c r="H8" i="2"/>
  <c r="H7" i="2"/>
  <c r="H6" i="2"/>
  <c r="G11" i="2"/>
  <c r="G10" i="2"/>
  <c r="G9" i="2"/>
  <c r="G8" i="2"/>
  <c r="G7" i="2"/>
  <c r="G6" i="2"/>
  <c r="F11" i="2"/>
  <c r="F10" i="2"/>
  <c r="F9" i="2"/>
  <c r="F8" i="2"/>
  <c r="F7" i="2"/>
  <c r="F6" i="2"/>
  <c r="E11" i="2"/>
  <c r="E10" i="2"/>
  <c r="E9" i="2"/>
  <c r="E8" i="2"/>
  <c r="E7" i="2"/>
  <c r="E6" i="2"/>
  <c r="D11" i="2"/>
  <c r="D10" i="2"/>
  <c r="D9" i="2"/>
  <c r="D8" i="2"/>
  <c r="D7" i="2"/>
  <c r="D6" i="2"/>
  <c r="C11" i="2"/>
  <c r="C10" i="2"/>
  <c r="C9" i="2"/>
  <c r="C8" i="2"/>
  <c r="C7" i="2"/>
  <c r="C6" i="2"/>
  <c r="G11" i="1"/>
  <c r="F11" i="1"/>
  <c r="E11" i="1"/>
  <c r="D11" i="1"/>
  <c r="C11" i="1"/>
  <c r="B11" i="1"/>
  <c r="I11" i="1" s="1"/>
  <c r="K11" i="1" s="1"/>
  <c r="G10" i="1"/>
  <c r="F10" i="1"/>
  <c r="E10" i="1"/>
  <c r="D10" i="1"/>
  <c r="C10" i="1"/>
  <c r="B10" i="1"/>
  <c r="I10" i="1" s="1"/>
  <c r="K10" i="1" s="1"/>
  <c r="G9" i="1"/>
  <c r="F9" i="1"/>
  <c r="E9" i="1"/>
  <c r="D9" i="1"/>
  <c r="C9" i="1"/>
  <c r="B9" i="1"/>
  <c r="I9" i="1" s="1"/>
  <c r="K9" i="1" s="1"/>
  <c r="G8" i="1"/>
  <c r="F8" i="1"/>
  <c r="E8" i="1"/>
  <c r="D8" i="1"/>
  <c r="C8" i="1"/>
  <c r="I8" i="1" s="1"/>
  <c r="K8" i="1" s="1"/>
  <c r="B8" i="1"/>
  <c r="G7" i="1"/>
  <c r="F7" i="1"/>
  <c r="E7" i="1"/>
  <c r="D7" i="1"/>
  <c r="C7" i="1"/>
  <c r="B7" i="1"/>
  <c r="I7" i="1" s="1"/>
  <c r="K7" i="1" s="1"/>
  <c r="G6" i="1"/>
  <c r="F6" i="1"/>
  <c r="E6" i="1"/>
  <c r="D6" i="1"/>
  <c r="C6" i="1"/>
  <c r="I6" i="1" s="1"/>
  <c r="K6" i="1" s="1"/>
  <c r="L8" i="1" s="1"/>
  <c r="B6" i="1"/>
  <c r="F2" i="1"/>
  <c r="J10" i="3" l="1"/>
  <c r="L10" i="3" s="1"/>
  <c r="B11" i="3"/>
  <c r="J9" i="3"/>
  <c r="L9" i="3" s="1"/>
  <c r="J11" i="3"/>
  <c r="L11" i="3" s="1"/>
  <c r="M8" i="3"/>
  <c r="M21" i="3"/>
  <c r="M35" i="3"/>
  <c r="L10" i="2"/>
  <c r="L8" i="2"/>
  <c r="L11" i="2"/>
  <c r="L9" i="2"/>
  <c r="L7" i="2"/>
  <c r="L6" i="2"/>
  <c r="M8" i="2" l="1"/>
</calcChain>
</file>

<file path=xl/sharedStrings.xml><?xml version="1.0" encoding="utf-8"?>
<sst xmlns="http://schemas.openxmlformats.org/spreadsheetml/2006/main" count="134" uniqueCount="24">
  <si>
    <t xml:space="preserve">1 кубга кетадигон махсулот </t>
  </si>
  <si>
    <t>п 1,266</t>
  </si>
  <si>
    <t>М100</t>
  </si>
  <si>
    <t>М150</t>
  </si>
  <si>
    <t>М200</t>
  </si>
  <si>
    <t>М250</t>
  </si>
  <si>
    <t>М300</t>
  </si>
  <si>
    <t>М350</t>
  </si>
  <si>
    <t>М400</t>
  </si>
  <si>
    <t>ИТОГО</t>
  </si>
  <si>
    <t>шебень</t>
  </si>
  <si>
    <t>куб</t>
  </si>
  <si>
    <t>клинец</t>
  </si>
  <si>
    <t xml:space="preserve">песок </t>
  </si>
  <si>
    <t>цемент</t>
  </si>
  <si>
    <t>тонна</t>
  </si>
  <si>
    <t>хим добавка</t>
  </si>
  <si>
    <t>кг</t>
  </si>
  <si>
    <t>вода</t>
  </si>
  <si>
    <t>П</t>
  </si>
  <si>
    <t xml:space="preserve">ВСЕГО </t>
  </si>
  <si>
    <t xml:space="preserve">Сырье </t>
  </si>
  <si>
    <t xml:space="preserve">на списанию </t>
  </si>
  <si>
    <t>Сухой бетон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</si>
</sst>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3" fontId="0" fillId="0" borderId="1" xfId="1" applyFont="1" applyBorder="1"/>
    <xf numFmtId="164" fontId="0" fillId="0" borderId="0" xfId="0" applyNumberFormat="1"/>
    <xf numFmtId="4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"/>
  <sheetViews>
    <sheetView workbookViewId="0">
      <selection sqref="A1:XFD1048576"/>
    </sheetView>
  </sheetViews>
  <sheetFormatPr defaultRowHeight="15" x14ac:dyDescent="0.25"/>
  <cols>
    <col min="1" max="1" width="18.7109375" customWidth="1"/>
    <col min="2" max="3" width="11.85546875" bestFit="1" customWidth="1"/>
    <col min="4" max="4" width="13.140625" bestFit="1" customWidth="1"/>
    <col min="5" max="5" width="14.85546875" bestFit="1" customWidth="1"/>
    <col min="6" max="7" width="13.140625" bestFit="1" customWidth="1"/>
    <col min="9" max="9" width="14.85546875" bestFit="1" customWidth="1"/>
    <col min="11" max="11" width="13.140625" bestFit="1" customWidth="1"/>
    <col min="12" max="12" width="12.42578125" bestFit="1" customWidth="1"/>
  </cols>
  <sheetData>
    <row r="2" spans="1:12" x14ac:dyDescent="0.25">
      <c r="D2">
        <v>2500</v>
      </c>
      <c r="E2">
        <v>1.266</v>
      </c>
      <c r="F2">
        <f>D2*E2</f>
        <v>3165</v>
      </c>
    </row>
    <row r="3" spans="1:12" x14ac:dyDescent="0.25">
      <c r="A3" t="s">
        <v>0</v>
      </c>
      <c r="C3" t="s">
        <v>1</v>
      </c>
    </row>
    <row r="5" spans="1:12" x14ac:dyDescent="0.25">
      <c r="A5" s="1"/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spans="1:12" x14ac:dyDescent="0.25">
      <c r="A6" s="1" t="s">
        <v>10</v>
      </c>
      <c r="B6" s="2">
        <f>690*40</f>
        <v>27600</v>
      </c>
      <c r="C6" s="2">
        <f>695*20</f>
        <v>13900</v>
      </c>
      <c r="D6" s="2">
        <f>700*237</f>
        <v>165900</v>
      </c>
      <c r="E6" s="2">
        <f>720*1323</f>
        <v>952560</v>
      </c>
      <c r="F6" s="2">
        <f>730*645</f>
        <v>470850</v>
      </c>
      <c r="G6" s="2">
        <f>745*226</f>
        <v>168370</v>
      </c>
      <c r="H6" s="2"/>
      <c r="I6" s="2">
        <f t="shared" ref="I6:I11" si="0">B6+C6+D6+E6+F6+G6+H6</f>
        <v>1799180</v>
      </c>
      <c r="J6" t="s">
        <v>11</v>
      </c>
      <c r="K6" s="3">
        <f>I6/1500</f>
        <v>1199.4533333333334</v>
      </c>
    </row>
    <row r="7" spans="1:12" x14ac:dyDescent="0.25">
      <c r="A7" s="1" t="s">
        <v>12</v>
      </c>
      <c r="B7" s="2">
        <f>825*40</f>
        <v>33000</v>
      </c>
      <c r="C7" s="2">
        <f>820*20</f>
        <v>16400</v>
      </c>
      <c r="D7" s="2">
        <f>825*237</f>
        <v>195525</v>
      </c>
      <c r="E7" s="2">
        <f>805*1323</f>
        <v>1065015</v>
      </c>
      <c r="F7" s="2">
        <f>795*645</f>
        <v>512775</v>
      </c>
      <c r="G7" s="2">
        <f>780*226</f>
        <v>176280</v>
      </c>
      <c r="H7" s="2"/>
      <c r="I7" s="2">
        <f t="shared" si="0"/>
        <v>1998995</v>
      </c>
      <c r="J7" t="s">
        <v>11</v>
      </c>
      <c r="K7" s="3">
        <f>I7/1530</f>
        <v>1306.5326797385621</v>
      </c>
    </row>
    <row r="8" spans="1:12" x14ac:dyDescent="0.25">
      <c r="A8" s="1" t="s">
        <v>13</v>
      </c>
      <c r="B8" s="2">
        <f>385*40</f>
        <v>15400</v>
      </c>
      <c r="C8" s="2">
        <f>385*20</f>
        <v>7700</v>
      </c>
      <c r="D8" s="2">
        <f>380*237</f>
        <v>90060</v>
      </c>
      <c r="E8" s="2">
        <f>380*1323</f>
        <v>502740</v>
      </c>
      <c r="F8" s="2">
        <f>375*645</f>
        <v>241875</v>
      </c>
      <c r="G8" s="2">
        <f>360*226</f>
        <v>81360</v>
      </c>
      <c r="H8" s="2"/>
      <c r="I8" s="2">
        <f t="shared" si="0"/>
        <v>939135</v>
      </c>
      <c r="J8" t="s">
        <v>11</v>
      </c>
      <c r="K8" s="3">
        <f>I8/1430</f>
        <v>656.73776223776224</v>
      </c>
      <c r="L8" s="3">
        <f>K6+K7+K8</f>
        <v>3162.7237753096574</v>
      </c>
    </row>
    <row r="9" spans="1:12" x14ac:dyDescent="0.25">
      <c r="A9" s="1" t="s">
        <v>14</v>
      </c>
      <c r="B9" s="2">
        <f>190*40</f>
        <v>7600</v>
      </c>
      <c r="C9" s="2">
        <f>200*20</f>
        <v>4000</v>
      </c>
      <c r="D9" s="2">
        <f>260*237</f>
        <v>61620</v>
      </c>
      <c r="E9" s="2">
        <f>260*1323</f>
        <v>343980</v>
      </c>
      <c r="F9" s="2">
        <f>335*645</f>
        <v>216075</v>
      </c>
      <c r="G9" s="2">
        <f>335*226</f>
        <v>75710</v>
      </c>
      <c r="H9" s="2"/>
      <c r="I9" s="2">
        <f t="shared" si="0"/>
        <v>708985</v>
      </c>
      <c r="J9" t="s">
        <v>15</v>
      </c>
      <c r="K9" s="3">
        <f>I9/1000</f>
        <v>708.98500000000001</v>
      </c>
    </row>
    <row r="10" spans="1:12" x14ac:dyDescent="0.25">
      <c r="A10" s="1" t="s">
        <v>16</v>
      </c>
      <c r="B10" s="2">
        <f>1.9*40</f>
        <v>76</v>
      </c>
      <c r="C10" s="2">
        <f>2*20</f>
        <v>40</v>
      </c>
      <c r="D10" s="2">
        <f>2.3*237</f>
        <v>545.09999999999991</v>
      </c>
      <c r="E10" s="2">
        <f>2.6*1323</f>
        <v>3439.8</v>
      </c>
      <c r="F10" s="2">
        <f>3.4*645</f>
        <v>2193</v>
      </c>
      <c r="G10" s="2">
        <f>3.4*226</f>
        <v>768.4</v>
      </c>
      <c r="H10" s="2"/>
      <c r="I10" s="2">
        <f t="shared" si="0"/>
        <v>7062.2999999999993</v>
      </c>
      <c r="J10" t="s">
        <v>17</v>
      </c>
      <c r="K10" s="4">
        <f>I10</f>
        <v>7062.2999999999993</v>
      </c>
    </row>
    <row r="11" spans="1:12" x14ac:dyDescent="0.25">
      <c r="A11" s="1" t="s">
        <v>18</v>
      </c>
      <c r="B11" s="2">
        <f>150*40</f>
        <v>6000</v>
      </c>
      <c r="C11" s="2">
        <f>150*20</f>
        <v>3000</v>
      </c>
      <c r="D11" s="2">
        <f>150*237</f>
        <v>35550</v>
      </c>
      <c r="E11" s="2">
        <f>150*1323</f>
        <v>198450</v>
      </c>
      <c r="F11" s="2">
        <f>150*645</f>
        <v>96750</v>
      </c>
      <c r="G11" s="2">
        <f>150*226</f>
        <v>33900</v>
      </c>
      <c r="H11" s="2"/>
      <c r="I11" s="2">
        <f t="shared" si="0"/>
        <v>373650</v>
      </c>
      <c r="J11" t="s">
        <v>18</v>
      </c>
      <c r="K11" s="4">
        <f>I11</f>
        <v>373650</v>
      </c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0D8D-B387-4264-9C95-923543A141BE}">
  <dimension ref="A1:M12"/>
  <sheetViews>
    <sheetView view="pageBreakPreview" zoomScale="130" zoomScaleNormal="100" zoomScaleSheetLayoutView="130" workbookViewId="0">
      <selection activeCell="E18" sqref="E18"/>
    </sheetView>
  </sheetViews>
  <sheetFormatPr defaultRowHeight="15" x14ac:dyDescent="0.25"/>
  <cols>
    <col min="1" max="1" width="13.7109375" customWidth="1"/>
    <col min="2" max="2" width="13.42578125" customWidth="1"/>
    <col min="3" max="4" width="11.85546875" bestFit="1" customWidth="1"/>
    <col min="5" max="5" width="13.140625" bestFit="1" customWidth="1"/>
    <col min="6" max="6" width="14.85546875" bestFit="1" customWidth="1"/>
    <col min="7" max="7" width="13.7109375" bestFit="1" customWidth="1"/>
    <col min="8" max="8" width="13.140625" bestFit="1" customWidth="1"/>
    <col min="10" max="10" width="14.85546875" bestFit="1" customWidth="1"/>
    <col min="12" max="12" width="13.140625" bestFit="1" customWidth="1"/>
    <col min="13" max="13" width="12.42578125" bestFit="1" customWidth="1"/>
  </cols>
  <sheetData>
    <row r="1" spans="1:13" x14ac:dyDescent="0.25">
      <c r="E1" s="5" t="s">
        <v>9</v>
      </c>
      <c r="F1" s="5" t="s">
        <v>19</v>
      </c>
      <c r="G1" s="5" t="s">
        <v>20</v>
      </c>
    </row>
    <row r="2" spans="1:13" x14ac:dyDescent="0.25">
      <c r="E2" s="5">
        <f>30+105+8+545+383.5+1965+827</f>
        <v>3863.5</v>
      </c>
      <c r="F2" s="5">
        <v>1.266</v>
      </c>
      <c r="G2" s="5">
        <f>E2*F2</f>
        <v>4891.1909999999998</v>
      </c>
    </row>
    <row r="3" spans="1:13" x14ac:dyDescent="0.25">
      <c r="A3" t="s">
        <v>0</v>
      </c>
      <c r="D3" t="s">
        <v>1</v>
      </c>
    </row>
    <row r="5" spans="1:13" x14ac:dyDescent="0.25">
      <c r="A5" s="1" t="s">
        <v>21</v>
      </c>
      <c r="B5" s="1" t="s">
        <v>23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L5" t="s">
        <v>22</v>
      </c>
    </row>
    <row r="6" spans="1:13" x14ac:dyDescent="0.25">
      <c r="A6" s="1" t="s">
        <v>10</v>
      </c>
      <c r="B6" s="2">
        <f>690*20</f>
        <v>13800</v>
      </c>
      <c r="C6" s="2">
        <f>690*105</f>
        <v>72450</v>
      </c>
      <c r="D6" s="2">
        <f>695*8</f>
        <v>5560</v>
      </c>
      <c r="E6" s="2">
        <f>700*545</f>
        <v>381500</v>
      </c>
      <c r="F6" s="2">
        <f>720*383.5</f>
        <v>276120</v>
      </c>
      <c r="G6" s="2">
        <f>730*1965</f>
        <v>1434450</v>
      </c>
      <c r="H6" s="2">
        <f>745*827</f>
        <v>616115</v>
      </c>
      <c r="I6" s="2"/>
      <c r="J6" s="2">
        <f>C6+D6+E6+F6+G6+H6+I6+B6</f>
        <v>2799995</v>
      </c>
      <c r="K6" t="s">
        <v>11</v>
      </c>
      <c r="L6" s="3">
        <f>J6/1500</f>
        <v>1866.6633333333334</v>
      </c>
    </row>
    <row r="7" spans="1:13" x14ac:dyDescent="0.25">
      <c r="A7" s="1" t="s">
        <v>12</v>
      </c>
      <c r="B7" s="2">
        <f>825*30</f>
        <v>24750</v>
      </c>
      <c r="C7" s="2">
        <f>825*105</f>
        <v>86625</v>
      </c>
      <c r="D7" s="2">
        <f>820*8</f>
        <v>6560</v>
      </c>
      <c r="E7" s="2">
        <f>825*545</f>
        <v>449625</v>
      </c>
      <c r="F7" s="2">
        <f>805*383.5</f>
        <v>308717.5</v>
      </c>
      <c r="G7" s="2">
        <f>795*1965</f>
        <v>1562175</v>
      </c>
      <c r="H7" s="2">
        <f>780*827</f>
        <v>645060</v>
      </c>
      <c r="I7" s="2"/>
      <c r="J7" s="2">
        <f t="shared" ref="J7:J10" si="0">C7+D7+E7+F7+G7+H7+I7+B7</f>
        <v>3083512.5</v>
      </c>
      <c r="K7" t="s">
        <v>11</v>
      </c>
      <c r="L7" s="3">
        <f>J7/1530</f>
        <v>2015.3676470588234</v>
      </c>
    </row>
    <row r="8" spans="1:13" x14ac:dyDescent="0.25">
      <c r="A8" s="1" t="s">
        <v>13</v>
      </c>
      <c r="B8" s="2">
        <f>385*30</f>
        <v>11550</v>
      </c>
      <c r="C8" s="2">
        <f>385*105</f>
        <v>40425</v>
      </c>
      <c r="D8" s="2">
        <f>385*8</f>
        <v>3080</v>
      </c>
      <c r="E8" s="2">
        <f>380*545</f>
        <v>207100</v>
      </c>
      <c r="F8" s="2">
        <f>380*383.5</f>
        <v>145730</v>
      </c>
      <c r="G8" s="2">
        <f>375*1965</f>
        <v>736875</v>
      </c>
      <c r="H8" s="2">
        <f>360*827</f>
        <v>297720</v>
      </c>
      <c r="I8" s="2"/>
      <c r="J8" s="2">
        <f t="shared" si="0"/>
        <v>1442480</v>
      </c>
      <c r="K8" t="s">
        <v>11</v>
      </c>
      <c r="L8" s="3">
        <f>J8/1430</f>
        <v>1008.7272727272727</v>
      </c>
      <c r="M8" s="3">
        <f>L6+L7+L8</f>
        <v>4890.7582531194294</v>
      </c>
    </row>
    <row r="9" spans="1:13" x14ac:dyDescent="0.25">
      <c r="A9" s="1" t="s">
        <v>14</v>
      </c>
      <c r="B9" s="2">
        <f>190*30</f>
        <v>5700</v>
      </c>
      <c r="C9" s="2">
        <f>190*105</f>
        <v>19950</v>
      </c>
      <c r="D9" s="2">
        <f>200*8</f>
        <v>1600</v>
      </c>
      <c r="E9" s="2">
        <f>260*545</f>
        <v>141700</v>
      </c>
      <c r="F9" s="2">
        <f>260*383.5</f>
        <v>99710</v>
      </c>
      <c r="G9" s="2">
        <f>335*1965</f>
        <v>658275</v>
      </c>
      <c r="H9" s="2">
        <f>335*827</f>
        <v>277045</v>
      </c>
      <c r="I9" s="2"/>
      <c r="J9" s="2">
        <f t="shared" si="0"/>
        <v>1203980</v>
      </c>
      <c r="K9" t="s">
        <v>15</v>
      </c>
      <c r="L9" s="3">
        <f>J9/1000</f>
        <v>1203.98</v>
      </c>
    </row>
    <row r="10" spans="1:13" x14ac:dyDescent="0.25">
      <c r="A10" s="1" t="s">
        <v>16</v>
      </c>
      <c r="B10" s="2">
        <f>1.9*30</f>
        <v>57</v>
      </c>
      <c r="C10" s="2">
        <f>1.9*105</f>
        <v>199.5</v>
      </c>
      <c r="D10" s="2">
        <f>2*8</f>
        <v>16</v>
      </c>
      <c r="E10" s="2">
        <f>2.3*545</f>
        <v>1253.5</v>
      </c>
      <c r="F10" s="2">
        <f>2.6*383.5</f>
        <v>997.1</v>
      </c>
      <c r="G10" s="2">
        <f>3.4*1965</f>
        <v>6681</v>
      </c>
      <c r="H10" s="2">
        <f>3.4*827</f>
        <v>2811.7999999999997</v>
      </c>
      <c r="I10" s="2"/>
      <c r="J10" s="2">
        <f t="shared" si="0"/>
        <v>12015.9</v>
      </c>
      <c r="K10" t="s">
        <v>17</v>
      </c>
      <c r="L10" s="4">
        <f>J10</f>
        <v>12015.9</v>
      </c>
    </row>
    <row r="11" spans="1:13" x14ac:dyDescent="0.25">
      <c r="A11" s="1" t="s">
        <v>18</v>
      </c>
      <c r="B11" s="2">
        <f>150*10</f>
        <v>1500</v>
      </c>
      <c r="C11" s="2">
        <f>150*105</f>
        <v>15750</v>
      </c>
      <c r="D11" s="2">
        <f>150*8</f>
        <v>1200</v>
      </c>
      <c r="E11" s="2">
        <f>150*545</f>
        <v>81750</v>
      </c>
      <c r="F11" s="2">
        <f>150*383.5</f>
        <v>57525</v>
      </c>
      <c r="G11" s="2">
        <f>150*1965</f>
        <v>294750</v>
      </c>
      <c r="H11" s="2">
        <f>150*827</f>
        <v>124050</v>
      </c>
      <c r="I11" s="2"/>
      <c r="J11" s="2">
        <f>C11+D11+E11+F11+G11+H11+I11+B11</f>
        <v>576525</v>
      </c>
      <c r="K11" t="s">
        <v>18</v>
      </c>
      <c r="L11" s="4">
        <f>J11</f>
        <v>576525</v>
      </c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DE93-61D4-4A82-942C-CB257A78C378}">
  <dimension ref="A1:M39"/>
  <sheetViews>
    <sheetView tabSelected="1" view="pageBreakPreview" zoomScale="130" zoomScaleNormal="100" zoomScaleSheetLayoutView="130" workbookViewId="0">
      <selection activeCell="H16" sqref="H16"/>
    </sheetView>
  </sheetViews>
  <sheetFormatPr defaultRowHeight="15" x14ac:dyDescent="0.25"/>
  <cols>
    <col min="1" max="1" width="13.7109375" customWidth="1"/>
    <col min="2" max="2" width="13.42578125" customWidth="1"/>
    <col min="3" max="4" width="11.85546875" bestFit="1" customWidth="1"/>
    <col min="5" max="5" width="13.140625" bestFit="1" customWidth="1"/>
    <col min="6" max="6" width="14.85546875" bestFit="1" customWidth="1"/>
    <col min="7" max="7" width="13.7109375" bestFit="1" customWidth="1"/>
    <col min="8" max="8" width="13.140625" bestFit="1" customWidth="1"/>
    <col min="10" max="10" width="14.85546875" bestFit="1" customWidth="1"/>
    <col min="12" max="12" width="13.140625" bestFit="1" customWidth="1"/>
    <col min="13" max="13" width="12.42578125" bestFit="1" customWidth="1"/>
  </cols>
  <sheetData>
    <row r="1" spans="1:13" x14ac:dyDescent="0.25">
      <c r="E1" s="7" t="s">
        <v>9</v>
      </c>
      <c r="F1" s="7" t="s">
        <v>19</v>
      </c>
      <c r="G1" s="7" t="s">
        <v>20</v>
      </c>
    </row>
    <row r="2" spans="1:13" x14ac:dyDescent="0.25">
      <c r="E2" s="7">
        <v>1225</v>
      </c>
      <c r="F2" s="7">
        <v>1.266</v>
      </c>
      <c r="G2" s="7">
        <f>E2*F2</f>
        <v>1550.85</v>
      </c>
    </row>
    <row r="3" spans="1:13" x14ac:dyDescent="0.25">
      <c r="A3" t="s">
        <v>0</v>
      </c>
      <c r="D3" t="s">
        <v>1</v>
      </c>
    </row>
    <row r="4" spans="1:13" x14ac:dyDescent="0.25">
      <c r="A4" s="6">
        <v>46091</v>
      </c>
      <c r="B4">
        <v>40</v>
      </c>
      <c r="C4">
        <v>80</v>
      </c>
      <c r="E4">
        <v>311</v>
      </c>
      <c r="F4">
        <v>83</v>
      </c>
      <c r="G4">
        <v>501</v>
      </c>
      <c r="H4">
        <v>210</v>
      </c>
    </row>
    <row r="5" spans="1:13" x14ac:dyDescent="0.25">
      <c r="A5" s="1" t="s">
        <v>21</v>
      </c>
      <c r="B5" s="1" t="s">
        <v>23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L5" t="s">
        <v>22</v>
      </c>
    </row>
    <row r="6" spans="1:13" x14ac:dyDescent="0.25">
      <c r="A6" s="1" t="s">
        <v>10</v>
      </c>
      <c r="B6" s="2">
        <f>B4</f>
        <v>40</v>
      </c>
      <c r="C6" s="2">
        <f>C4</f>
        <v>80</v>
      </c>
      <c r="D6" s="2"/>
      <c r="E6" s="2"/>
      <c r="F6" s="2"/>
      <c r="G6" s="2"/>
      <c r="H6" s="2"/>
      <c r="I6" s="2"/>
      <c r="J6" s="2">
        <f>C6+D6+E6+F6+G6+H6+I6+B6</f>
        <v>120</v>
      </c>
      <c r="K6" t="s">
        <v>11</v>
      </c>
      <c r="L6" s="3">
        <f>J6/1500</f>
        <v>0.08</v>
      </c>
    </row>
    <row r="7" spans="1:13" x14ac:dyDescent="0.25">
      <c r="A7" s="1" t="s">
        <v>12</v>
      </c>
      <c r="B7" s="2">
        <f>B4</f>
        <v>40</v>
      </c>
      <c r="C7" s="2">
        <f>C4</f>
        <v>80</v>
      </c>
      <c r="D7" s="2"/>
      <c r="E7" s="2"/>
      <c r="F7" s="2"/>
      <c r="G7" s="2"/>
      <c r="H7" s="2"/>
      <c r="I7" s="2"/>
      <c r="J7" s="2">
        <f t="shared" ref="J7:J10" si="0">C7+D7+E7+F7+G7+H7+I7+B7</f>
        <v>120</v>
      </c>
      <c r="K7" t="s">
        <v>11</v>
      </c>
      <c r="L7" s="3">
        <f>J7/1530</f>
        <v>7.8431372549019607E-2</v>
      </c>
    </row>
    <row r="8" spans="1:13" x14ac:dyDescent="0.25">
      <c r="A8" s="1" t="s">
        <v>13</v>
      </c>
      <c r="B8" s="2">
        <f t="shared" ref="B7:B11" si="1">B6</f>
        <v>40</v>
      </c>
      <c r="C8" s="2">
        <f t="shared" ref="C7:C11" si="2">C6</f>
        <v>80</v>
      </c>
      <c r="D8" s="2"/>
      <c r="E8" s="2"/>
      <c r="F8" s="2"/>
      <c r="G8" s="2"/>
      <c r="H8" s="2"/>
      <c r="I8" s="2"/>
      <c r="J8" s="2">
        <f t="shared" si="0"/>
        <v>120</v>
      </c>
      <c r="K8" t="s">
        <v>11</v>
      </c>
      <c r="L8" s="3">
        <f>J8/1430</f>
        <v>8.3916083916083919E-2</v>
      </c>
      <c r="M8" s="3">
        <f>L6+L7+L8</f>
        <v>0.24234745646510353</v>
      </c>
    </row>
    <row r="9" spans="1:13" x14ac:dyDescent="0.25">
      <c r="A9" s="1" t="s">
        <v>14</v>
      </c>
      <c r="B9" s="2">
        <f t="shared" si="1"/>
        <v>40</v>
      </c>
      <c r="C9" s="2">
        <f t="shared" si="2"/>
        <v>80</v>
      </c>
      <c r="D9" s="2"/>
      <c r="E9" s="2"/>
      <c r="F9" s="2"/>
      <c r="G9" s="2"/>
      <c r="H9" s="2"/>
      <c r="I9" s="2"/>
      <c r="J9" s="2">
        <f t="shared" si="0"/>
        <v>120</v>
      </c>
      <c r="K9" t="s">
        <v>15</v>
      </c>
      <c r="L9" s="3">
        <f>J9/1000</f>
        <v>0.12</v>
      </c>
    </row>
    <row r="10" spans="1:13" x14ac:dyDescent="0.25">
      <c r="A10" s="1" t="s">
        <v>16</v>
      </c>
      <c r="B10" s="2">
        <f t="shared" si="1"/>
        <v>40</v>
      </c>
      <c r="C10" s="2">
        <f t="shared" si="2"/>
        <v>80</v>
      </c>
      <c r="D10" s="2"/>
      <c r="E10" s="2"/>
      <c r="F10" s="2"/>
      <c r="G10" s="2"/>
      <c r="H10" s="2"/>
      <c r="I10" s="2"/>
      <c r="J10" s="2">
        <f t="shared" si="0"/>
        <v>120</v>
      </c>
      <c r="K10" t="s">
        <v>17</v>
      </c>
      <c r="L10" s="4">
        <f>J10</f>
        <v>120</v>
      </c>
    </row>
    <row r="11" spans="1:13" x14ac:dyDescent="0.25">
      <c r="A11" s="1" t="s">
        <v>18</v>
      </c>
      <c r="B11" s="2">
        <f t="shared" si="1"/>
        <v>40</v>
      </c>
      <c r="C11" s="2">
        <f t="shared" si="2"/>
        <v>80</v>
      </c>
      <c r="D11" s="2"/>
      <c r="E11" s="2"/>
      <c r="F11" s="2"/>
      <c r="G11" s="2"/>
      <c r="H11" s="2"/>
      <c r="I11" s="2"/>
      <c r="J11" s="2">
        <f>C11+D11+E11+F11+G11+H11+I11+B11</f>
        <v>120</v>
      </c>
      <c r="K11" t="s">
        <v>18</v>
      </c>
      <c r="L11" s="4">
        <f>J11</f>
        <v>120</v>
      </c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4" spans="1:13" x14ac:dyDescent="0.25">
      <c r="E14" s="5" t="s">
        <v>9</v>
      </c>
      <c r="F14" s="5" t="s">
        <v>19</v>
      </c>
      <c r="G14" s="5" t="s">
        <v>20</v>
      </c>
    </row>
    <row r="15" spans="1:13" x14ac:dyDescent="0.25">
      <c r="E15" s="5">
        <f>30+105+8+545+383.5+1965+827</f>
        <v>3863.5</v>
      </c>
      <c r="F15" s="5">
        <v>1.266</v>
      </c>
      <c r="G15" s="5">
        <f>E15*F15</f>
        <v>4891.1909999999998</v>
      </c>
    </row>
    <row r="16" spans="1:13" x14ac:dyDescent="0.25">
      <c r="A16" t="s">
        <v>0</v>
      </c>
      <c r="D16" t="s">
        <v>1</v>
      </c>
    </row>
    <row r="17" spans="1:13" x14ac:dyDescent="0.25">
      <c r="A17" s="6">
        <v>46101</v>
      </c>
      <c r="B17">
        <v>80</v>
      </c>
      <c r="C17">
        <v>69</v>
      </c>
      <c r="E17">
        <v>209</v>
      </c>
      <c r="F17">
        <v>50</v>
      </c>
      <c r="G17">
        <v>509.5</v>
      </c>
      <c r="H17">
        <v>326</v>
      </c>
    </row>
    <row r="18" spans="1:13" x14ac:dyDescent="0.25">
      <c r="A18" s="1" t="s">
        <v>21</v>
      </c>
      <c r="B18" s="1" t="s">
        <v>23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L18" t="s">
        <v>22</v>
      </c>
    </row>
    <row r="19" spans="1:13" x14ac:dyDescent="0.25">
      <c r="A19" s="1" t="s">
        <v>10</v>
      </c>
      <c r="B19" s="2"/>
      <c r="C19" s="2"/>
      <c r="D19" s="2"/>
      <c r="E19" s="2"/>
      <c r="F19" s="2"/>
      <c r="G19" s="2"/>
      <c r="H19" s="2"/>
      <c r="I19" s="2"/>
      <c r="J19" s="2">
        <f>C19+D19+E19+F19+G19+H19+I19+B19</f>
        <v>0</v>
      </c>
      <c r="K19" t="s">
        <v>11</v>
      </c>
      <c r="L19" s="3">
        <f>J19/1500</f>
        <v>0</v>
      </c>
    </row>
    <row r="20" spans="1:13" x14ac:dyDescent="0.25">
      <c r="A20" s="1" t="s">
        <v>12</v>
      </c>
      <c r="B20" s="2"/>
      <c r="C20" s="2"/>
      <c r="D20" s="2"/>
      <c r="E20" s="2"/>
      <c r="F20" s="2"/>
      <c r="G20" s="2"/>
      <c r="H20" s="2"/>
      <c r="I20" s="2"/>
      <c r="J20" s="2">
        <f t="shared" ref="J20:J23" si="3">C20+D20+E20+F20+G20+H20+I20+B20</f>
        <v>0</v>
      </c>
      <c r="K20" t="s">
        <v>11</v>
      </c>
      <c r="L20" s="3">
        <f>J20/1530</f>
        <v>0</v>
      </c>
    </row>
    <row r="21" spans="1:13" x14ac:dyDescent="0.25">
      <c r="A21" s="1" t="s">
        <v>13</v>
      </c>
      <c r="B21" s="2"/>
      <c r="C21" s="2"/>
      <c r="D21" s="2"/>
      <c r="E21" s="2"/>
      <c r="F21" s="2"/>
      <c r="G21" s="2"/>
      <c r="H21" s="2"/>
      <c r="I21" s="2"/>
      <c r="J21" s="2">
        <f t="shared" si="3"/>
        <v>0</v>
      </c>
      <c r="K21" t="s">
        <v>11</v>
      </c>
      <c r="L21" s="3">
        <f>J21/1430</f>
        <v>0</v>
      </c>
      <c r="M21" s="3">
        <f>L19+L20+L21</f>
        <v>0</v>
      </c>
    </row>
    <row r="22" spans="1:13" x14ac:dyDescent="0.25">
      <c r="A22" s="1" t="s">
        <v>14</v>
      </c>
      <c r="B22" s="2"/>
      <c r="C22" s="2"/>
      <c r="D22" s="2"/>
      <c r="E22" s="2"/>
      <c r="F22" s="2"/>
      <c r="G22" s="2"/>
      <c r="H22" s="2"/>
      <c r="I22" s="2"/>
      <c r="J22" s="2">
        <f t="shared" si="3"/>
        <v>0</v>
      </c>
      <c r="K22" t="s">
        <v>15</v>
      </c>
      <c r="L22" s="3">
        <f>J22/1000</f>
        <v>0</v>
      </c>
    </row>
    <row r="23" spans="1:13" x14ac:dyDescent="0.25">
      <c r="A23" s="1" t="s">
        <v>16</v>
      </c>
      <c r="B23" s="2"/>
      <c r="C23" s="2"/>
      <c r="D23" s="2"/>
      <c r="E23" s="2"/>
      <c r="F23" s="2"/>
      <c r="G23" s="2"/>
      <c r="H23" s="2"/>
      <c r="I23" s="2"/>
      <c r="J23" s="2">
        <f t="shared" si="3"/>
        <v>0</v>
      </c>
      <c r="K23" t="s">
        <v>17</v>
      </c>
      <c r="L23" s="4">
        <f>J23</f>
        <v>0</v>
      </c>
    </row>
    <row r="24" spans="1:13" x14ac:dyDescent="0.25">
      <c r="A24" s="1" t="s">
        <v>18</v>
      </c>
      <c r="B24" s="2"/>
      <c r="C24" s="2"/>
      <c r="D24" s="2"/>
      <c r="E24" s="2"/>
      <c r="F24" s="2"/>
      <c r="G24" s="2"/>
      <c r="H24" s="2"/>
      <c r="I24" s="2"/>
      <c r="J24" s="2">
        <f>C24+D24+E24+F24+G24+H24+I24+B24</f>
        <v>0</v>
      </c>
      <c r="K24" t="s">
        <v>18</v>
      </c>
      <c r="L24" s="4">
        <f>J24</f>
        <v>0</v>
      </c>
    </row>
    <row r="25" spans="1:1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8" spans="1:13" x14ac:dyDescent="0.25">
      <c r="E28" s="5" t="s">
        <v>9</v>
      </c>
      <c r="F28" s="5" t="s">
        <v>19</v>
      </c>
      <c r="G28" s="5" t="s">
        <v>20</v>
      </c>
    </row>
    <row r="29" spans="1:13" x14ac:dyDescent="0.25">
      <c r="E29" s="5">
        <f>30+105+8+545+383.5+1965+827</f>
        <v>3863.5</v>
      </c>
      <c r="F29" s="5">
        <v>1.266</v>
      </c>
      <c r="G29" s="5">
        <f>E29*F29</f>
        <v>4891.1909999999998</v>
      </c>
    </row>
    <row r="30" spans="1:13" x14ac:dyDescent="0.25">
      <c r="A30" t="s">
        <v>0</v>
      </c>
      <c r="D30" t="s">
        <v>1</v>
      </c>
    </row>
    <row r="32" spans="1:13" x14ac:dyDescent="0.25">
      <c r="A32" s="1" t="s">
        <v>21</v>
      </c>
      <c r="B32" s="1" t="s">
        <v>23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L32" t="s">
        <v>22</v>
      </c>
    </row>
    <row r="33" spans="1:13" x14ac:dyDescent="0.25">
      <c r="A33" s="1" t="s">
        <v>10</v>
      </c>
      <c r="B33" s="2">
        <f>690*20</f>
        <v>13800</v>
      </c>
      <c r="C33" s="2">
        <f>690*105</f>
        <v>72450</v>
      </c>
      <c r="D33" s="2">
        <f>695*8</f>
        <v>5560</v>
      </c>
      <c r="E33" s="2">
        <f>700*545</f>
        <v>381500</v>
      </c>
      <c r="F33" s="2">
        <f>720*383.5</f>
        <v>276120</v>
      </c>
      <c r="G33" s="2">
        <f>730*1965</f>
        <v>1434450</v>
      </c>
      <c r="H33" s="2">
        <f>745*827</f>
        <v>616115</v>
      </c>
      <c r="I33" s="2"/>
      <c r="J33" s="2">
        <f>C33+D33+E33+F33+G33+H33+I33+B33</f>
        <v>2799995</v>
      </c>
      <c r="K33" t="s">
        <v>11</v>
      </c>
      <c r="L33" s="3">
        <f>J33/1500</f>
        <v>1866.6633333333334</v>
      </c>
    </row>
    <row r="34" spans="1:13" x14ac:dyDescent="0.25">
      <c r="A34" s="1" t="s">
        <v>12</v>
      </c>
      <c r="B34" s="2">
        <f>825*30</f>
        <v>24750</v>
      </c>
      <c r="C34" s="2">
        <f>825*105</f>
        <v>86625</v>
      </c>
      <c r="D34" s="2">
        <f>820*8</f>
        <v>6560</v>
      </c>
      <c r="E34" s="2">
        <f>825*545</f>
        <v>449625</v>
      </c>
      <c r="F34" s="2">
        <f>805*383.5</f>
        <v>308717.5</v>
      </c>
      <c r="G34" s="2">
        <f>795*1965</f>
        <v>1562175</v>
      </c>
      <c r="H34" s="2">
        <f>780*827</f>
        <v>645060</v>
      </c>
      <c r="I34" s="2"/>
      <c r="J34" s="2">
        <f t="shared" ref="J34:J37" si="4">C34+D34+E34+F34+G34+H34+I34+B34</f>
        <v>3083512.5</v>
      </c>
      <c r="K34" t="s">
        <v>11</v>
      </c>
      <c r="L34" s="3">
        <f>J34/1530</f>
        <v>2015.3676470588234</v>
      </c>
    </row>
    <row r="35" spans="1:13" x14ac:dyDescent="0.25">
      <c r="A35" s="1" t="s">
        <v>13</v>
      </c>
      <c r="B35" s="2">
        <f>385*30</f>
        <v>11550</v>
      </c>
      <c r="C35" s="2">
        <f>385*105</f>
        <v>40425</v>
      </c>
      <c r="D35" s="2">
        <f>385*8</f>
        <v>3080</v>
      </c>
      <c r="E35" s="2">
        <f>380*545</f>
        <v>207100</v>
      </c>
      <c r="F35" s="2">
        <f>380*383.5</f>
        <v>145730</v>
      </c>
      <c r="G35" s="2">
        <f>375*1965</f>
        <v>736875</v>
      </c>
      <c r="H35" s="2">
        <f>360*827</f>
        <v>297720</v>
      </c>
      <c r="I35" s="2"/>
      <c r="J35" s="2">
        <f t="shared" si="4"/>
        <v>1442480</v>
      </c>
      <c r="K35" t="s">
        <v>11</v>
      </c>
      <c r="L35" s="3">
        <f>J35/1430</f>
        <v>1008.7272727272727</v>
      </c>
      <c r="M35" s="3">
        <f>L33+L34+L35</f>
        <v>4890.7582531194294</v>
      </c>
    </row>
    <row r="36" spans="1:13" x14ac:dyDescent="0.25">
      <c r="A36" s="1" t="s">
        <v>14</v>
      </c>
      <c r="B36" s="2">
        <f>190*30</f>
        <v>5700</v>
      </c>
      <c r="C36" s="2">
        <f>190*105</f>
        <v>19950</v>
      </c>
      <c r="D36" s="2">
        <f>200*8</f>
        <v>1600</v>
      </c>
      <c r="E36" s="2">
        <f>260*545</f>
        <v>141700</v>
      </c>
      <c r="F36" s="2">
        <f>260*383.5</f>
        <v>99710</v>
      </c>
      <c r="G36" s="2">
        <f>335*1965</f>
        <v>658275</v>
      </c>
      <c r="H36" s="2">
        <f>335*827</f>
        <v>277045</v>
      </c>
      <c r="I36" s="2"/>
      <c r="J36" s="2">
        <f t="shared" si="4"/>
        <v>1203980</v>
      </c>
      <c r="K36" t="s">
        <v>15</v>
      </c>
      <c r="L36" s="3">
        <f>J36/1000</f>
        <v>1203.98</v>
      </c>
    </row>
    <row r="37" spans="1:13" x14ac:dyDescent="0.25">
      <c r="A37" s="1" t="s">
        <v>16</v>
      </c>
      <c r="B37" s="2">
        <f>1.9*30</f>
        <v>57</v>
      </c>
      <c r="C37" s="2">
        <f>1.9*105</f>
        <v>199.5</v>
      </c>
      <c r="D37" s="2">
        <f>2*8</f>
        <v>16</v>
      </c>
      <c r="E37" s="2">
        <f>2.3*545</f>
        <v>1253.5</v>
      </c>
      <c r="F37" s="2">
        <f>2.6*383.5</f>
        <v>997.1</v>
      </c>
      <c r="G37" s="2">
        <f>3.4*1965</f>
        <v>6681</v>
      </c>
      <c r="H37" s="2">
        <f>3.4*827</f>
        <v>2811.7999999999997</v>
      </c>
      <c r="I37" s="2"/>
      <c r="J37" s="2">
        <f t="shared" si="4"/>
        <v>12015.9</v>
      </c>
      <c r="K37" t="s">
        <v>17</v>
      </c>
      <c r="L37" s="4">
        <f>J37</f>
        <v>12015.9</v>
      </c>
    </row>
    <row r="38" spans="1:13" x14ac:dyDescent="0.25">
      <c r="A38" s="1" t="s">
        <v>18</v>
      </c>
      <c r="B38" s="2">
        <f>150*10</f>
        <v>1500</v>
      </c>
      <c r="C38" s="2">
        <f>150*105</f>
        <v>15750</v>
      </c>
      <c r="D38" s="2">
        <f>150*8</f>
        <v>1200</v>
      </c>
      <c r="E38" s="2">
        <f>150*545</f>
        <v>81750</v>
      </c>
      <c r="F38" s="2">
        <f>150*383.5</f>
        <v>57525</v>
      </c>
      <c r="G38" s="2">
        <f>150*1965</f>
        <v>294750</v>
      </c>
      <c r="H38" s="2">
        <f>150*827</f>
        <v>124050</v>
      </c>
      <c r="I38" s="2"/>
      <c r="J38" s="2">
        <f>C38+D38+E38+F38+G38+H38+I38+B38</f>
        <v>576525</v>
      </c>
      <c r="K38" t="s">
        <v>18</v>
      </c>
      <c r="L38" s="4">
        <f>J38</f>
        <v>576525</v>
      </c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pageMargins left="0.7" right="0.7" top="0.75" bottom="0.75" header="0.3" footer="0.3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январь </vt:lpstr>
      <vt:lpstr>февраль</vt:lpstr>
      <vt:lpstr>март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2026-03-12T05:08:54Z</cp:lastPrinted>
  <dcterms:created xsi:type="dcterms:W3CDTF">2015-06-05T18:19:34Z</dcterms:created>
  <dcterms:modified xsi:type="dcterms:W3CDTF">2026-03-27T11:46:24Z</dcterms:modified>
</cp:coreProperties>
</file>